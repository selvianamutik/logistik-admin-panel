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50fbd66ee047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Akun Tester" sheetId="1" r:id="R213c0d2399d945f1"/>
    <x:sheet xmlns:r="http://schemas.openxmlformats.org/officeDocument/2006/relationships" name="01 Checklist UAT" sheetId="2" r:id="R997cccf13ae4449a"/>
    <x:sheet xmlns:r="http://schemas.openxmlformats.org/officeDocument/2006/relationships" name="02 Ringkasan" sheetId="3" r:id="R0d630e9cfab546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17e877efb94962" /><Relationship Type="http://schemas.openxmlformats.org/officeDocument/2006/relationships/theme" Target="/xl/theme/theme1.xml" Id="R9a3d3f6bbcd3405a" /><Relationship Type="http://schemas.openxmlformats.org/officeDocument/2006/relationships/sharedStrings" Target="/xl/sharedStrings.xml" Id="R73f49f7e84c34cac" /><Relationship Type="http://schemas.openxmlformats.org/officeDocument/2006/relationships/worksheet" Target="/xl/worksheets/sheet1.xml" Id="R213c0d2399d945f1" /><Relationship Type="http://schemas.openxmlformats.org/officeDocument/2006/relationships/worksheet" Target="/xl/worksheets/sheet2.xml" Id="R997cccf13ae4449a" /><Relationship Type="http://schemas.openxmlformats.org/officeDocument/2006/relationships/worksheet" Target="/xl/worksheets/sheet3.xml" Id="R0d630e9cfab5463a" /></Relationships>
</file>

<file path=xl/tables/table1.xml><?xml version="1.0" encoding="utf-8"?>
<x:table xmlns:x="http://schemas.openxmlformats.org/spreadsheetml/2006/main" id="1" name="UAT_Akun_Tester" displayName="UAT_Akun_Tester" ref="A1:G9" headerRowCount="1">
  <x:tableColumns count="7">
    <x:tableColumn id="1" name="Aplikasi"/>
    <x:tableColumn id="2" name="Role / Divisi"/>
    <x:tableColumn id="3" name="Email Login"/>
    <x:tableColumn id="4" name="Password"/>
    <x:tableColumn id="5" name="Login dari"/>
    <x:tableColumn id="6" name="Untuk Testing"/>
    <x:tableColumn id="7" name="Catatan"/>
  </x:tableColumns>
  <x:tableStyleInfo name="TableStyleMedium2" showRowStripes="1"/>
</x:table>
</file>

<file path=xl/tables/table2.xml><?xml version="1.0" encoding="utf-8"?>
<x:table xmlns:x="http://schemas.openxmlformats.org/spreadsheetml/2006/main" id="2" name="UAT_Checklist" displayName="UAT_Checklist" ref="A1:M132" headerRowCount="1">
  <x:tableColumns count="13">
    <x:tableColumn id="1" name="ID"/>
    <x:tableColumn id="2" name="Modul"/>
    <x:tableColumn id="3" name="Submodul"/>
    <x:tableColumn id="4" name="Prioritas"/>
    <x:tableColumn id="5" name="Login yang Dipakai"/>
    <x:tableColumn id="6" name="Skenario / Harapan"/>
    <x:tableColumn id="7" name="Cara Test Detail"/>
    <x:tableColumn id="8" name="Output yang Diharapkan"/>
    <x:tableColumn id="9" name="Hasil"/>
    <x:tableColumn id="10" name="Bug / Ketidaksesuaian"/>
    <x:tableColumn id="11" name="Evidence"/>
    <x:tableColumn id="12" name="Tester"/>
    <x:tableColumn id="13" name="Tanggal"/>
  </x:tableColumns>
  <x:tableStyleInfo name="TableStyleMedium2" showRowStripes="1"/>
</x:table>
</file>

<file path=xl/tables/table3.xml><?xml version="1.0" encoding="utf-8"?>
<x:table xmlns:x="http://schemas.openxmlformats.org/spreadsheetml/2006/main" id="3" name="UAT_Ringkasan" displayName="UAT_Ringkasan" ref="A1:B12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4e98fb6dfd49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0701773c0847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72912361fb745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60000610351562" hidden="0" customWidth="1"/>
    <x:col min="2" max="2" width="19.520000457763672" hidden="0" customWidth="1"/>
    <x:col min="3" max="3" width="30.280000686645508" hidden="0" customWidth="1"/>
    <x:col min="4" max="4" width="15.479999542236328" hidden="0" customWidth="1"/>
    <x:col min="5" max="5" width="27.59000015258789" hidden="0" customWidth="1"/>
    <x:col min="6" max="6" width="47.779998779296875" hidden="0" customWidth="1"/>
    <x:col min="7" max="7" width="47.779998779296875" hidden="0" customWidth="1"/>
  </x:cols>
  <x:sheetData>
    <x:row r="1" ht="42" customHeight="1">
      <x:c r="A1" s="5" t="str">
        <x:v>Aplikasi</x:v>
      </x:c>
      <x:c r="B1" s="5" t="str">
        <x:v>Role / Divisi</x:v>
      </x:c>
      <x:c r="C1" s="5" t="str">
        <x:v>Email Login</x:v>
      </x:c>
      <x:c r="D1" s="5" t="str">
        <x:v>Password</x:v>
      </x:c>
      <x:c r="E1" s="5" t="str">
        <x:v>Login dari</x:v>
      </x:c>
      <x:c r="F1" s="5" t="str">
        <x:v>Untuk Testing</x:v>
      </x:c>
      <x:c r="G1" s="5" t="str">
        <x:v>Catatan</x:v>
      </x:c>
    </x:row>
    <x:row r="2" ht="58.5" customHeight="1">
      <x:c r="A2" s="2" t="str">
        <x:v>Web Admin</x:v>
      </x:c>
      <x:c r="B2" s="2" t="str">
        <x:v>OWNER</x:v>
      </x:c>
      <x:c r="C2" s="2" t="str">
        <x:v>owner@company.local</x:v>
      </x:c>
      <x:c r="D2" s="2" t="str">
        <x:v>owner12345</x:v>
      </x:c>
      <x:c r="E2" s="2" t="str">
        <x:v>/login</x:v>
      </x:c>
      <x:c r="F2" s="2" t="str">
        <x:v>Full access, sign-off final, settings, audit log.</x:v>
      </x:c>
      <x:c r="G2" s="2" t="str">
        <x:v>Pakai untuk validasi semua modul dan approval akhir.</x:v>
      </x:c>
    </x:row>
    <x:row r="3" ht="58.5" customHeight="1">
      <x:c r="A3" s="2" t="str">
        <x:v>Web Admin</x:v>
      </x:c>
      <x:c r="B3" s="2" t="str">
        <x:v>OPERASIONAL</x:v>
      </x:c>
      <x:c r="C3" s="2" t="str">
        <x:v>admin@company.local</x:v>
      </x:c>
      <x:c r="D3" s="2" t="str">
        <x:v>admin12345</x:v>
      </x:c>
      <x:c r="E3" s="2" t="str">
        <x:v>/login</x:v>
      </x:c>
      <x:c r="F3" s="2" t="str">
        <x:v>Order, trip, DO/SJ, customer, uang jalan, expense operasional.</x:v>
      </x:c>
      <x:c r="G3" s="2" t="str">
        <x:v>Akun operasional/admin web.</x:v>
      </x:c>
    </x:row>
    <x:row r="4" ht="58.5" customHeight="1">
      <x:c r="A4" s="2" t="str">
        <x:v>Web Admin</x:v>
      </x:c>
      <x:c r="B4" s="2" t="str">
        <x:v>FINANCE</x:v>
      </x:c>
      <x:c r="C4" s="2" t="str">
        <x:v>finance@company.local</x:v>
      </x:c>
      <x:c r="D4" s="2" t="str">
        <x:v>admin12345</x:v>
      </x:c>
      <x:c r="E4" s="2" t="str">
        <x:v>/login</x:v>
      </x:c>
      <x:c r="F4" s="2" t="str">
        <x:v>Invoice/nota, pembayaran, rekening/kas, laporan, jurnal.</x:v>
      </x:c>
      <x:c r="G4" s="2" t="str">
        <x:v>Pastikan tidak bisa mutasi modul armada/operasional yang tidak diizinkan.</x:v>
      </x:c>
    </x:row>
    <x:row r="5" ht="58.5" customHeight="1">
      <x:c r="A5" s="2" t="str">
        <x:v>Web Admin</x:v>
      </x:c>
      <x:c r="B5" s="2" t="str">
        <x:v>ARMADA</x:v>
      </x:c>
      <x:c r="C5" s="2" t="str">
        <x:v>armada@company.local</x:v>
      </x:c>
      <x:c r="D5" s="2" t="str">
        <x:v>admin12345</x:v>
      </x:c>
      <x:c r="E5" s="2" t="str">
        <x:v>/login</x:v>
      </x:c>
      <x:c r="F5" s="2" t="str">
        <x:v>Kendaraan, supir, ban, maintenance, insiden.</x:v>
      </x:c>
      <x:c r="G5" s="2" t="str">
        <x:v>Pastikan tidak bisa membuat nota/pembayaran.</x:v>
      </x:c>
    </x:row>
    <x:row r="6" ht="58.5" customHeight="1">
      <x:c r="A6" s="2" t="str">
        <x:v>Portal Driver / Mobile Driver</x:v>
      </x:c>
      <x:c r="B6" s="2" t="str">
        <x:v>DRIVER - Agus</x:v>
      </x:c>
      <x:c r="C6" s="2" t="str">
        <x:v>driver.agus@company.local</x:v>
      </x:c>
      <x:c r="D6" s="2" t="str">
        <x:v>driver12345</x:v>
      </x:c>
      <x:c r="E6" s="2" t="str">
        <x:v>/driver/login dan app mobile</x:v>
      </x:c>
      <x:c r="F6" s="2" t="str">
        <x:v>Trip driver, SJ/barang, tracking, completion request, insiden.</x:v>
      </x:c>
      <x:c r="G6" s="2" t="str">
        <x:v>Gunakan untuk UAT driver utama.</x:v>
      </x:c>
    </x:row>
    <x:row r="7" ht="58.5" customHeight="1">
      <x:c r="A7" s="2" t="str">
        <x:v>Portal Driver / Mobile Driver</x:v>
      </x:c>
      <x:c r="B7" s="2" t="str">
        <x:v>DRIVER - Budi</x:v>
      </x:c>
      <x:c r="C7" s="2" t="str">
        <x:v>driver.budi@company.local</x:v>
      </x:c>
      <x:c r="D7" s="2" t="str">
        <x:v>driver12345</x:v>
      </x:c>
      <x:c r="E7" s="2" t="str">
        <x:v>/driver/login dan app mobile</x:v>
      </x:c>
      <x:c r="F7" s="2" t="str">
        <x:v>Cross-check trip hanya milik driver login.</x:v>
      </x:c>
      <x:c r="G7" s="2" t="str">
        <x:v>Gunakan untuk validasi isolasi data antar driver.</x:v>
      </x:c>
    </x:row>
    <x:row r="8" ht="58.5" customHeight="1">
      <x:c r="A8" s="2" t="str">
        <x:v>Portal Driver / Mobile Driver</x:v>
      </x:c>
      <x:c r="B8" s="2" t="str">
        <x:v>DRIVER - Catur</x:v>
      </x:c>
      <x:c r="C8" s="2" t="str">
        <x:v>driver.catur@company.local</x:v>
      </x:c>
      <x:c r="D8" s="2" t="str">
        <x:v>driver12345</x:v>
      </x:c>
      <x:c r="E8" s="2" t="str">
        <x:v>/driver/login dan app mobile</x:v>
      </x:c>
      <x:c r="F8" s="2" t="str">
        <x:v>Cross-check trip aktif/riwayat driver.</x:v>
      </x:c>
      <x:c r="G8" s="2" t="str">
        <x:v>Gunakan jika seed menyediakan trip untuk Catur.</x:v>
      </x:c>
    </x:row>
    <x:row r="9" ht="58.5" customHeight="1">
      <x:c r="A9" s="2" t="str">
        <x:v>Portal Driver / Mobile Driver</x:v>
      </x:c>
      <x:c r="B9" s="2" t="str">
        <x:v>DRIVER - Eko</x:v>
      </x:c>
      <x:c r="C9" s="2" t="str">
        <x:v>driver.eko@company.local</x:v>
      </x:c>
      <x:c r="D9" s="2" t="str">
        <x:v>driver12345</x:v>
      </x:c>
      <x:c r="E9" s="2" t="str">
        <x:v>/driver/login dan app mobile</x:v>
      </x:c>
      <x:c r="F9" s="2" t="str">
        <x:v>Cross-check akun driver tambahan.</x:v>
      </x:c>
      <x:c r="G9" s="2" t="str">
        <x:v>Jika akun tidak ada setelah reset, buat dari Supir -&gt; Akses Mobile.</x:v>
      </x:c>
    </x:row>
    <x:row r="10" ht="64.5" customHeight="1">
      <x:c r="A10" s="2" t="str">
        <x:v>Portal Driver / Mobile Driver</x:v>
      </x:c>
      <x:c r="B10" s="2" t="str">
        <x:v>DRIVER - Imam</x:v>
      </x:c>
      <x:c r="C10" s="2" t="str">
        <x:v>imam@driver</x:v>
      </x:c>
      <x:c r="D10" s="2" t="str">
        <x:v>driver12345</x:v>
      </x:c>
      <x:c r="E10" s="2" t="str">
        <x:v>/driver/login dan app mobile</x:v>
      </x:c>
      <x:c r="F10" s="2" t="str">
        <x:v>UAT case Imam: trip baru setelah DO lama selesai, input SJ/barang dari mobile.</x:v>
      </x:c>
      <x:c r="G10" s="2" t="str">
        <x:v>Password sudah di-reset untuk UAT pada 2026-05-13.</x:v>
      </x:c>
    </x:row>
  </x:sheetData>
  <x:pageMargins left="0.7" right="0.7" top="0.75" bottom="0.75" header="0.3" footer="0.3"/>
  <x:tableParts count="1">
    <x:tablePart xmlns:r="http://schemas.openxmlformats.org/officeDocument/2006/relationships" r:id="R154e98fb6dfd49c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20.190000534057617" hidden="0" customWidth="1"/>
    <x:col min="3" max="3" width="22.209999084472656" hidden="0" customWidth="1"/>
    <x:col min="4" max="4" width="10.09000015258789" hidden="0" customWidth="1"/>
    <x:col min="5" max="5" width="35.66999816894531" hidden="0" customWidth="1"/>
    <x:col min="6" max="6" width="41.04999923706055" hidden="0" customWidth="1"/>
    <x:col min="7" max="7" width="72.01000213623047" hidden="0" customWidth="1"/>
    <x:col min="8" max="8" width="72.01000213623047" hidden="0" customWidth="1"/>
    <x:col min="9" max="9" width="16.149999618530273" hidden="0" customWidth="1"/>
    <x:col min="10" max="10" width="57.20000076293945" hidden="0" customWidth="1"/>
    <x:col min="11" max="11" width="28.940000534057617" hidden="0" customWidth="1"/>
    <x:col min="12" max="12" width="16.81999969482422" hidden="0" customWidth="1"/>
    <x:col min="13" max="13" width="15.479999542236328" hidden="0" customWidth="1"/>
  </x:cols>
  <x:sheetData>
    <x:row r="1" ht="45" customHeight="1">
      <x:c r="A1" s="5" t="str">
        <x:v>ID</x:v>
      </x:c>
      <x:c r="B1" s="5" t="str">
        <x:v>Modul</x:v>
      </x:c>
      <x:c r="C1" s="5" t="str">
        <x:v>Submodul</x:v>
      </x:c>
      <x:c r="D1" s="5" t="str">
        <x:v>Prioritas</x:v>
      </x:c>
      <x:c r="E1" s="5" t="str">
        <x:v>Login yang Dipakai</x:v>
      </x:c>
      <x:c r="F1" s="5" t="str">
        <x:v>Skenario / Harapan</x:v>
      </x:c>
      <x:c r="G1" s="5" t="str">
        <x:v>Cara Test Detail</x:v>
      </x:c>
      <x:c r="H1" s="5" t="str">
        <x:v>Output yang Diharapkan</x:v>
      </x:c>
      <x:c r="I1" s="5" t="str">
        <x:v>Hasil</x:v>
      </x:c>
      <x:c r="J1" s="5" t="str">
        <x:v>Bug / Ketidaksesuaian</x:v>
      </x:c>
      <x:c r="K1" s="5" t="str">
        <x:v>Evidence</x:v>
      </x:c>
      <x:c r="L1" s="5" t="str">
        <x:v>Tester</x:v>
      </x:c>
      <x:c r="M1" s="5" t="str">
        <x:v>Tanggal</x:v>
      </x:c>
    </x:row>
    <x:row r="2" ht="142.5" customHeight="1">
      <x:c r="A2" s="2" t="str">
        <x:v>E2E-001</x:v>
      </x:c>
      <x:c r="B2" s="2" t="str">
        <x:v>Skenario E2E</x:v>
      </x:c>
      <x:c r="C2" s="2" t="str">
        <x:v>Order to Cash Normal</x:v>
      </x:c>
      <x:c r="D2" s="2" t="str">
        <x:v>P0</x:v>
      </x:c>
      <x:c r="E2" s="2" t="str">
        <x:v>Gunakan akun sesuai owner modul: Operasional + Finance</x:v>
      </x:c>
      <x:c r="F2" s="2" t="str">
        <x:v>Validasi alur bisnis utama dari order sampai uang masuk dan laporan.</x:v>
      </x:c>
      <x:c r="G2" s="2" t="str">
        <x:v>1. Customer/master data
2. Order
3. DO/SJ
4. Driver tracking
5. Admin delivered dengan aktual/drop
6. Nota
7. Payment
8. Laporan.</x:v>
      </x:c>
      <x:c r="H2" s="2" t="str">
        <x:v>Order COMPLETE, DO DELIVERED, Nota PAID/PARTIAL sesuai nominal, bank/kas dan laporan sinkron.</x:v>
      </x:c>
      <x:c r="I2" s="2" t="str">
        <x:v>Belum Dites</x:v>
      </x:c>
      <x:c r="J2" s="2" t="str"/>
      <x:c r="K2" s="2" t="str"/>
      <x:c r="L2" s="2" t="str"/>
      <x:c r="M2" s="2" t="str"/>
    </x:row>
    <x:row r="3" ht="114" customHeight="1">
      <x:c r="A3" s="2" t="str">
        <x:v>E2E-002</x:v>
      </x:c>
      <x:c r="B3" s="2" t="str">
        <x:v>Skenario E2E</x:v>
      </x:c>
      <x:c r="C3" s="2" t="str">
        <x:v>Partial Qty + Hold + DO Lanjutan</x:v>
      </x:c>
      <x:c r="D3" s="2" t="str">
        <x:v>P0</x:v>
      </x:c>
      <x:c r="E3" s="2" t="str">
        <x:v>Gunakan akun sesuai owner modul: Operasional</x:v>
      </x:c>
      <x:c r="F3" s="2" t="str">
        <x:v>Pastikan partial qty tidak kehilangan sisa barang.</x:v>
      </x:c>
      <x:c r="G3" s="2" t="str">
        <x:v>1. Order qty besar
2. DO sebagian
3. sisanya hold
4. release hold
5. DO berikutnya
6. finalisasi.</x:v>
      </x:c>
      <x:c r="H3" s="2" t="str">
        <x:v>Progress item benar: delivered/held/pending tidak negatif dan status order benar.</x:v>
      </x:c>
      <x:c r="I3" s="2" t="str">
        <x:v>Belum Dites</x:v>
      </x:c>
      <x:c r="J3" s="2" t="str"/>
      <x:c r="K3" s="2" t="str"/>
      <x:c r="L3" s="2" t="str"/>
      <x:c r="M3" s="2" t="str"/>
    </x:row>
    <x:row r="4" ht="128.25" customHeight="1">
      <x:c r="A4" s="2" t="str">
        <x:v>E2E-003</x:v>
      </x:c>
      <x:c r="B4" s="2" t="str">
        <x:v>Skenario E2E</x:v>
      </x:c>
      <x:c r="C4" s="2" t="str">
        <x:v>Mobile Driver SJ Correction</x:v>
      </x:c>
      <x:c r="D4" s="2" t="str">
        <x:v>P0</x:v>
      </x:c>
      <x:c r="E4" s="2" t="str">
        <x:v>Gunakan akun sesuai owner modul: Operasional + Driver</x:v>
      </x:c>
      <x:c r="F4" s="2" t="str">
        <x:v>Validasi driver bisa tambah/edit/hapus SJ sebelum aktual final tanpa merusak admin.</x:v>
      </x:c>
      <x:c r="G4" s="2" t="str">
        <x:v>1. Assign trip
2. driver input SJ
3. edit nomor salah
4. tambah SJ tambahan
5. hapus SJ salah
6. tambah/edit barang
7. admin review.</x:v>
      </x:c>
      <x:c r="H4" s="2" t="str">
        <x:v>Admin melihat data SJ/barang final benar; tidak ada stale SJ/item.</x:v>
      </x:c>
      <x:c r="I4" s="2" t="str">
        <x:v>Belum Dites</x:v>
      </x:c>
      <x:c r="J4" s="2" t="str"/>
      <x:c r="K4" s="2" t="str"/>
      <x:c r="L4" s="2" t="str"/>
      <x:c r="M4" s="2" t="str"/>
    </x:row>
    <x:row r="5" ht="71.25" customHeight="1">
      <x:c r="A5" s="2" t="str">
        <x:v>E2E-004</x:v>
      </x:c>
      <x:c r="B5" s="2" t="str">
        <x:v>Skenario E2E</x:v>
      </x:c>
      <x:c r="C5" s="2" t="str">
        <x:v>Driver Completion Approval</x:v>
      </x:c>
      <x:c r="D5" s="2" t="str">
        <x:v>P0</x:v>
      </x:c>
      <x:c r="E5" s="2" t="str">
        <x:v>Gunakan akun sesuai owner modul: Driver + Admin</x:v>
      </x:c>
      <x:c r="F5" s="2" t="str">
        <x:v>Pastikan final fatal tetap approval admin.</x:v>
      </x:c>
      <x:c r="G5" s="2" t="str">
        <x:v>1. Driver ajukan selesai dengan actual/drop/POD
2. admin approve atau reject
3. driver koreksi bila reject.</x:v>
      </x:c>
      <x:c r="H5" s="2" t="str">
        <x:v>DO hanya DELIVERED setelah approve admin; pending lock aktif selama menunggu.</x:v>
      </x:c>
      <x:c r="I5" s="2" t="str">
        <x:v>Belum Dites</x:v>
      </x:c>
      <x:c r="J5" s="2" t="str"/>
      <x:c r="K5" s="2" t="str"/>
      <x:c r="L5" s="2" t="str"/>
      <x:c r="M5" s="2" t="str"/>
    </x:row>
    <x:row r="6" ht="85.5" customHeight="1">
      <x:c r="A6" s="2" t="str">
        <x:v>E2E-005</x:v>
      </x:c>
      <x:c r="B6" s="2" t="str">
        <x:v>Skenario E2E</x:v>
      </x:c>
      <x:c r="C6" s="2" t="str">
        <x:v>Incident to Settlement</x:v>
      </x:c>
      <x:c r="D6" s="2" t="str">
        <x:v>P0</x:v>
      </x:c>
      <x:c r="E6" s="2" t="str">
        <x:v>Gunakan akun sesuai owner modul: Driver + Armada + Finance</x:v>
      </x:c>
      <x:c r="F6" s="2" t="str">
        <x:v>Validasi insiden lapangan dan biaya.</x:v>
      </x:c>
      <x:c r="G6" s="2" t="str">
        <x:v>1. Driver lapor insiden
2. admin armada review
3. driver/admin input resolution cost
4. finance posting/expense bila disetujui.</x:v>
      </x:c>
      <x:c r="H6" s="2" t="str">
        <x:v>Incident resolved/closed dan biaya tercatat tanpa dobel posting.</x:v>
      </x:c>
      <x:c r="I6" s="2" t="str">
        <x:v>Belum Dites</x:v>
      </x:c>
      <x:c r="J6" s="2" t="str"/>
      <x:c r="K6" s="2" t="str"/>
      <x:c r="L6" s="2" t="str"/>
      <x:c r="M6" s="2" t="str"/>
    </x:row>
    <x:row r="7" ht="114" customHeight="1">
      <x:c r="A7" s="2" t="str">
        <x:v>E2E-006</x:v>
      </x:c>
      <x:c r="B7" s="2" t="str">
        <x:v>Skenario E2E</x:v>
      </x:c>
      <x:c r="C7" s="2" t="str">
        <x:v>Uang Jalan Trip Settlement</x:v>
      </x:c>
      <x:c r="D7" s="2" t="str">
        <x:v>P0</x:v>
      </x:c>
      <x:c r="E7" s="2" t="str">
        <x:v>Gunakan akun sesuai owner modul: Operasional + Finance</x:v>
      </x:c>
      <x:c r="F7" s="2" t="str">
        <x:v>Validasi kas uang jalan dan settlement trip.</x:v>
      </x:c>
      <x:c r="G7" s="2" t="str">
        <x:v>1. DO aktif
2. terbit uang jalan
3. top up
4. biaya trip
5. settle sisa/kekurangan
6. laporan kas.</x:v>
      </x:c>
      <x:c r="H7" s="2" t="str">
        <x:v>Voucher SETTLED, expense dan bankTransaction benar, tidak bisa dobel borongan.</x:v>
      </x:c>
      <x:c r="I7" s="2" t="str">
        <x:v>Belum Dites</x:v>
      </x:c>
      <x:c r="J7" s="2" t="str"/>
      <x:c r="K7" s="2" t="str"/>
      <x:c r="L7" s="2" t="str"/>
      <x:c r="M7" s="2" t="str"/>
    </x:row>
    <x:row r="8" ht="85.5" customHeight="1">
      <x:c r="A8" s="2" t="str">
        <x:v>E2E-007</x:v>
      </x:c>
      <x:c r="B8" s="2" t="str">
        <x:v>Skenario E2E</x:v>
      </x:c>
      <x:c r="C8" s="2" t="str">
        <x:v>Borongan Legacy Eligible</x:v>
      </x:c>
      <x:c r="D8" s="2" t="str">
        <x:v>P0</x:v>
      </x:c>
      <x:c r="E8" s="2" t="str">
        <x:v>Gunakan akun sesuai owner modul: Owner</x:v>
      </x:c>
      <x:c r="F8" s="2" t="str">
        <x:v>Validasi slip borongan hanya untuk DO eligible.</x:v>
      </x:c>
      <x:c r="G8" s="2" t="str">
        <x:v>1. DO delivered eligible tanpa voucher
2. buat borongan
3. bayar
4. laporan expense.</x:v>
      </x:c>
      <x:c r="H8" s="2" t="str">
        <x:v>Borongan PAID, expense tercatat, DO dengan voucher ditolak.</x:v>
      </x:c>
      <x:c r="I8" s="2" t="str">
        <x:v>Belum Dites</x:v>
      </x:c>
      <x:c r="J8" s="2" t="str"/>
      <x:c r="K8" s="2" t="str"/>
      <x:c r="L8" s="2" t="str"/>
      <x:c r="M8" s="2" t="str"/>
    </x:row>
    <x:row r="9" ht="99.75" customHeight="1">
      <x:c r="A9" s="2" t="str">
        <x:v>E2E-008</x:v>
      </x:c>
      <x:c r="B9" s="2" t="str">
        <x:v>Skenario E2E</x:v>
      </x:c>
      <x:c r="C9" s="2" t="str">
        <x:v>Inventory to Maintenance</x:v>
      </x:c>
      <x:c r="D9" s="2" t="str">
        <x:v>P0</x:v>
      </x:c>
      <x:c r="E9" s="2" t="str">
        <x:v>Gunakan akun sesuai owner modul: Gudang + Armada</x:v>
      </x:c>
      <x:c r="F9" s="2" t="str">
        <x:v>Validasi stok sparepart dipakai maintenance.</x:v>
      </x:c>
      <x:c r="G9" s="2" t="str">
        <x:v>1. Supplier
2. item gudang
3. pembelian/receive
4. maintenance pakai material
5. stock recap.</x:v>
      </x:c>
      <x:c r="H9" s="2" t="str">
        <x:v>Stock masuk/keluar benar dan biaya maintenance tercatat.</x:v>
      </x:c>
      <x:c r="I9" s="2" t="str">
        <x:v>Belum Dites</x:v>
      </x:c>
      <x:c r="J9" s="2" t="str"/>
      <x:c r="K9" s="2" t="str"/>
      <x:c r="L9" s="2" t="str"/>
      <x:c r="M9" s="2" t="str"/>
    </x:row>
    <x:row r="10" ht="57" customHeight="1">
      <x:c r="A10" s="2" t="str">
        <x:v>E2E-009</x:v>
      </x:c>
      <x:c r="B10" s="2" t="str">
        <x:v>Skenario E2E</x:v>
      </x:c>
      <x:c r="C10" s="2" t="str">
        <x:v>RBAC Cross Role</x:v>
      </x:c>
      <x:c r="D10" s="2" t="str">
        <x:v>P0</x:v>
      </x:c>
      <x:c r="E10" s="2" t="str">
        <x:v>Gunakan akun sesuai owner modul: Owner</x:v>
      </x:c>
      <x:c r="F10" s="2" t="str">
        <x:v>Pastikan role tidak bocor akses.</x:v>
      </x:c>
      <x:c r="G10" s="2" t="str">
        <x:v>1. Login owner/admin/finance/armada/driver
2. buka menu/action kritikal masing-masing.</x:v>
      </x:c>
      <x:c r="H10" s="2" t="str">
        <x:v>Setiap role hanya bisa melihat/mutasi sesuai matrix.</x:v>
      </x:c>
      <x:c r="I10" s="2" t="str">
        <x:v>Belum Dites</x:v>
      </x:c>
      <x:c r="J10" s="2" t="str"/>
      <x:c r="K10" s="2" t="str"/>
      <x:c r="L10" s="2" t="str"/>
      <x:c r="M10" s="2" t="str"/>
    </x:row>
    <x:row r="11" ht="71.25" customHeight="1">
      <x:c r="A11" s="2" t="str">
        <x:v>E2E-010</x:v>
      </x:c>
      <x:c r="B11" s="2" t="str">
        <x:v>Skenario E2E</x:v>
      </x:c>
      <x:c r="C11" s="2" t="str">
        <x:v>Cancellation and Resource Unlock</x:v>
      </x:c>
      <x:c r="D11" s="2" t="str">
        <x:v>P0</x:v>
      </x:c>
      <x:c r="E11" s="2" t="str">
        <x:v>Gunakan akun sesuai owner modul: Operasional + Driver</x:v>
      </x:c>
      <x:c r="F11" s="2" t="str">
        <x:v>Validasi cancel trip melepas resource dan tracking.</x:v>
      </x:c>
      <x:c r="G11" s="2" t="str">
        <x:v>1. DO aktif dengan driver/kendaraan/tracking
2. cancel oleh admin
3. assign driver ke trip baru.</x:v>
      </x:c>
      <x:c r="H11" s="2" t="str">
        <x:v>Tracking STOPPED, lock driver/kendaraan lepas, trip baru bisa dibuat.</x:v>
      </x:c>
      <x:c r="I11" s="2" t="str">
        <x:v>Belum Dites</x:v>
      </x:c>
      <x:c r="J11" s="2" t="str"/>
      <x:c r="K11" s="2" t="str"/>
      <x:c r="L11" s="2" t="str"/>
      <x:c r="M11" s="2" t="str"/>
    </x:row>
    <x:row r="12" ht="99.75" customHeight="1">
      <x:c r="A12" s="2" t="str">
        <x:v>AUTH-001</x:v>
      </x:c>
      <x:c r="B12" s="2" t="str">
        <x:v>Auth &amp; Sesi</x:v>
      </x:c>
      <x:c r="C12" s="2" t="str">
        <x:v>Login Admin</x:v>
      </x:c>
      <x:c r="D12" s="2" t="str">
        <x:v>P0</x:v>
      </x:c>
      <x:c r="E12" s="2" t="str">
        <x:v>owner@company.local / owner12345; admin@company.local / admin12345; finance@company.local / admin12345; armada@company.local / admin12345</x:v>
      </x:c>
      <x:c r="F12" s="2" t="str">
        <x:v>Login dengan akun internal valid.</x:v>
      </x:c>
      <x:c r="G12" s="2" t="str">
        <x:v>Prasyarat: Akun demo tersedia.
1. Buka /login
2. Masukkan email/password valid
3. Klik Masuk</x:v>
      </x:c>
      <x:c r="H12" s="2" t="str">
        <x:v>User masuk ke dashboard sesuai role, nama user tampil, menu sesuai hak akses.</x:v>
      </x:c>
      <x:c r="I12" s="2" t="str">
        <x:v>Belum Dites</x:v>
      </x:c>
      <x:c r="J12" s="2" t="str"/>
      <x:c r="K12" s="2" t="str"/>
      <x:c r="L12" s="2" t="str"/>
      <x:c r="M12" s="2" t="str"/>
    </x:row>
    <x:row r="13" ht="85.5" customHeight="1">
      <x:c r="A13" s="2" t="str">
        <x:v>AUTH-002</x:v>
      </x:c>
      <x:c r="B13" s="2" t="str">
        <x:v>Auth &amp; Sesi</x:v>
      </x:c>
      <x:c r="C13" s="2" t="str">
        <x:v>Login Admin</x:v>
      </x:c>
      <x:c r="D13" s="2" t="str">
        <x:v>P0</x:v>
      </x:c>
      <x:c r="E13" s="2" t="str">
        <x:v>Gunakan akun sesuai role pada skenario.</x:v>
      </x:c>
      <x:c r="F13" s="2" t="str">
        <x:v>Login ditolak untuk password salah.</x:v>
      </x:c>
      <x:c r="G13" s="2" t="str">
        <x:v>Prasyarat: Akun demo tersedia.
1. Buka /login
2. Masukkan email valid dengan password salah
3. Klik Masuk</x:v>
      </x:c>
      <x:c r="H13" s="2" t="str">
        <x:v>Muncul pesan error, user tetap di halaman login, tidak ada session aktif.</x:v>
      </x:c>
      <x:c r="I13" s="2" t="str">
        <x:v>Belum Dites</x:v>
      </x:c>
      <x:c r="J13" s="2" t="str"/>
      <x:c r="K13" s="2" t="str"/>
      <x:c r="L13" s="2" t="str"/>
      <x:c r="M13" s="2" t="str"/>
    </x:row>
    <x:row r="14" ht="71.25" customHeight="1">
      <x:c r="A14" s="2" t="str">
        <x:v>AUTH-003</x:v>
      </x:c>
      <x:c r="B14" s="2" t="str">
        <x:v>Auth &amp; Sesi</x:v>
      </x:c>
      <x:c r="C14" s="2" t="str">
        <x:v>Driver Auth</x:v>
      </x:c>
      <x:c r="D14" s="2" t="str">
        <x:v>P0</x:v>
      </x:c>
      <x:c r="E14" s="2" t="str">
        <x:v>driver.agus@company.local / driver12345</x:v>
      </x:c>
      <x:c r="F14" s="2" t="str">
        <x:v>Akun driver tidak boleh masuk admin panel.</x:v>
      </x:c>
      <x:c r="G14" s="2" t="str">
        <x:v>Prasyarat: Akun driver aktif.
1. Buka /login
2. Login memakai akun driver</x:v>
      </x:c>
      <x:c r="H14" s="2" t="str">
        <x:v>Login admin ditolak atau diarahkan keluar; akun driver hanya boleh di /driver/login atau app mobile.</x:v>
      </x:c>
      <x:c r="I14" s="2" t="str">
        <x:v>Belum Dites</x:v>
      </x:c>
      <x:c r="J14" s="2" t="str"/>
      <x:c r="K14" s="2" t="str"/>
      <x:c r="L14" s="2" t="str"/>
      <x:c r="M14" s="2" t="str"/>
    </x:row>
    <x:row r="15" ht="85.5" customHeight="1">
      <x:c r="A15" s="2" t="str">
        <x:v>AUTH-004</x:v>
      </x:c>
      <x:c r="B15" s="2" t="str">
        <x:v>Auth &amp; Sesi</x:v>
      </x:c>
      <x:c r="C15" s="2" t="str">
        <x:v>Driver Auth</x:v>
      </x:c>
      <x:c r="D15" s="2" t="str">
        <x:v>P0</x:v>
      </x:c>
      <x:c r="E15" s="2" t="str">
        <x:v>driver.agus@company.local / driver12345</x:v>
      </x:c>
      <x:c r="F15" s="2" t="str">
        <x:v>Driver login di portal/app driver.</x:v>
      </x:c>
      <x:c r="G15" s="2" t="str">
        <x:v>Prasyarat: Akun driver aktif.
1. Buka /driver/login atau app mobile
2. Login driver
3. Lihat dashboard driver</x:v>
      </x:c>
      <x:c r="H15" s="2" t="str">
        <x:v>Driver melihat trip miliknya saja dan token/session driver valid.</x:v>
      </x:c>
      <x:c r="I15" s="2" t="str">
        <x:v>Belum Dites</x:v>
      </x:c>
      <x:c r="J15" s="2" t="str"/>
      <x:c r="K15" s="2" t="str"/>
      <x:c r="L15" s="2" t="str"/>
      <x:c r="M15" s="2" t="str"/>
    </x:row>
    <x:row r="16" ht="71.25" customHeight="1">
      <x:c r="A16" s="2" t="str">
        <x:v>AUTH-005</x:v>
      </x:c>
      <x:c r="B16" s="2" t="str">
        <x:v>Auth &amp; Sesi</x:v>
      </x:c>
      <x:c r="C16" s="2" t="str">
        <x:v>Logout</x:v>
      </x:c>
      <x:c r="D16" s="2" t="str">
        <x:v>P1</x:v>
      </x:c>
      <x:c r="E16" s="2" t="str">
        <x:v>Gunakan akun sesuai role pada skenario.</x:v>
      </x:c>
      <x:c r="F16" s="2" t="str">
        <x:v>Logout menghapus sesi.</x:v>
      </x:c>
      <x:c r="G16" s="2" t="str">
        <x:v>Prasyarat: User sudah login.
1. Klik Logout
2. Buka ulang route terlindungi</x:v>
      </x:c>
      <x:c r="H16" s="2" t="str">
        <x:v>User diarahkan ke login; route admin/driver tidak bisa dibuka tanpa login.</x:v>
      </x:c>
      <x:c r="I16" s="2" t="str">
        <x:v>Belum Dites</x:v>
      </x:c>
      <x:c r="J16" s="2" t="str"/>
      <x:c r="K16" s="2" t="str"/>
      <x:c r="L16" s="2" t="str"/>
      <x:c r="M16" s="2" t="str"/>
    </x:row>
    <x:row r="17" ht="85.5" customHeight="1">
      <x:c r="A17" s="2" t="str">
        <x:v>AUTH-006</x:v>
      </x:c>
      <x:c r="B17" s="2" t="str">
        <x:v>RBAC</x:v>
      </x:c>
      <x:c r="C17" s="2" t="str">
        <x:v>Menu Role</x:v>
      </x:c>
      <x:c r="D17" s="2" t="str">
        <x:v>P0</x:v>
      </x:c>
      <x:c r="E17" s="2" t="str">
        <x:v>finance@company.local / admin12345</x:v>
      </x:c>
      <x:c r="F17" s="2" t="str">
        <x:v>Role finance tidak melihat/mengubah modul operasional yang tidak diizinkan.</x:v>
      </x:c>
      <x:c r="G17" s="2" t="str">
        <x:v>Prasyarat: Login finance.
1. Login finance
2. Periksa sidebar
3. Coba akses route order create/armada write secara langsung</x:v>
      </x:c>
      <x:c r="H17" s="2" t="str">
        <x:v>Menu dan action dibatasi; akses route/action terlarang ditolak.</x:v>
      </x:c>
      <x:c r="I17" s="2" t="str">
        <x:v>Belum Dites</x:v>
      </x:c>
      <x:c r="J17" s="2" t="str"/>
      <x:c r="K17" s="2" t="str"/>
      <x:c r="L17" s="2" t="str"/>
      <x:c r="M17" s="2" t="str"/>
    </x:row>
    <x:row r="18" ht="71.25" customHeight="1">
      <x:c r="A18" s="2" t="str">
        <x:v>AUTH-007</x:v>
      </x:c>
      <x:c r="B18" s="2" t="str">
        <x:v>RBAC</x:v>
      </x:c>
      <x:c r="C18" s="2" t="str">
        <x:v>Menu Role</x:v>
      </x:c>
      <x:c r="D18" s="2" t="str">
        <x:v>P0</x:v>
      </x:c>
      <x:c r="E18" s="2" t="str">
        <x:v>armada@company.local / admin12345</x:v>
      </x:c>
      <x:c r="F18" s="2" t="str">
        <x:v>Role armada fokus fleet dan tidak bisa membuat nota/pembayaran.</x:v>
      </x:c>
      <x:c r="G18" s="2" t="str">
        <x:v>Prasyarat: Login armada.
1. Buka /invoices/new dan /bank-accounts action create
2. Coba submit</x:v>
      </x:c>
      <x:c r="H18" s="2" t="str">
        <x:v>Akses/action finance ditolak, tidak ada data finance dibuat.</x:v>
      </x:c>
      <x:c r="I18" s="2" t="str">
        <x:v>Belum Dites</x:v>
      </x:c>
      <x:c r="J18" s="2" t="str"/>
      <x:c r="K18" s="2" t="str"/>
      <x:c r="L18" s="2" t="str"/>
      <x:c r="M18" s="2" t="str"/>
    </x:row>
    <x:row r="19" ht="99.75" customHeight="1">
      <x:c r="A19" s="2" t="str">
        <x:v>AUTH-008</x:v>
      </x:c>
      <x:c r="B19" s="2" t="str">
        <x:v>Pengaturan</x:v>
      </x:c>
      <x:c r="C19" s="2" t="str">
        <x:v>Profile &amp; Password</x:v>
      </x:c>
      <x:c r="D19" s="2" t="str">
        <x:v>P1</x:v>
      </x:c>
      <x:c r="E19" s="2" t="str">
        <x:v>owner@company.local / owner12345; admin@company.local / admin12345; finance@company.local / admin12345; armada@company.local / admin12345</x:v>
      </x:c>
      <x:c r="F19" s="2" t="str">
        <x:v>User mengubah profile dan password sendiri.</x:v>
      </x:c>
      <x:c r="G19" s="2" t="str">
        <x:v>Prasyarat: Login internal.
1. Buka Akun Saya
2. Ubah nama/profil
3. Buka Password
4. Ganti password dengan current password valid</x:v>
      </x:c>
      <x:c r="H19" s="2" t="str">
        <x:v>Profil tersimpan, password baru bisa login, password lama ditolak.</x:v>
      </x:c>
      <x:c r="I19" s="2" t="str">
        <x:v>Belum Dites</x:v>
      </x:c>
      <x:c r="J19" s="2" t="str"/>
      <x:c r="K19" s="2" t="str"/>
      <x:c r="L19" s="2" t="str"/>
      <x:c r="M19" s="2" t="str"/>
    </x:row>
    <x:row r="20" ht="99.75" customHeight="1">
      <x:c r="A20" s="2" t="str">
        <x:v>DASH-001</x:v>
      </x:c>
      <x:c r="B20" s="2" t="str">
        <x:v>Dashboard</x:v>
      </x:c>
      <x:c r="C20" s="2" t="str">
        <x:v>Owner Summary</x:v>
      </x:c>
      <x:c r="D20" s="2" t="str">
        <x:v>P0</x:v>
      </x:c>
      <x:c r="E20" s="2" t="str">
        <x:v>owner@company.local / owner12345</x:v>
      </x:c>
      <x:c r="F20" s="2" t="str">
        <x:v>Dashboard owner menampilkan angka operasional dan finance konsisten.</x:v>
      </x:c>
      <x:c r="G20" s="2" t="str">
        <x:v>Prasyarat: Data seed tersedia.
1. Login owner
2. Buka /dashboard
3. Bandingkan kartu tagihan/DO/bon/borongan dengan daftar modul terkait</x:v>
      </x:c>
      <x:c r="H20" s="2" t="str">
        <x:v>Angka dashboard sesuai data modul terkait, tidak membaca invoice legacy sebagai tagihan aktif baru.</x:v>
      </x:c>
      <x:c r="I20" s="2" t="str">
        <x:v>Belum Dites</x:v>
      </x:c>
      <x:c r="J20" s="2" t="str"/>
      <x:c r="K20" s="2" t="str"/>
      <x:c r="L20" s="2" t="str"/>
      <x:c r="M20" s="2" t="str"/>
    </x:row>
    <x:row r="21" ht="85.5" customHeight="1">
      <x:c r="A21" s="2" t="str">
        <x:v>DASH-002</x:v>
      </x:c>
      <x:c r="B21" s="2" t="str">
        <x:v>Dashboard</x:v>
      </x:c>
      <x:c r="C21" s="2" t="str">
        <x:v>Role Dashboard</x:v>
      </x:c>
      <x:c r="D21" s="2" t="str">
        <x:v>P1</x:v>
      </x:c>
      <x:c r="E21" s="2" t="str">
        <x:v>admin@company.local / admin12345; finance@company.local / admin12345; armada@company.local / admin12345</x:v>
      </x:c>
      <x:c r="F21" s="2" t="str">
        <x:v>Dashboard tiap role tetap usable dan tidak menampilkan action tidak berhak.</x:v>
      </x:c>
      <x:c r="G21" s="2" t="str">
        <x:v>Prasyarat: Login tiap role.
1. Login role
2. Buka dashboard
3. Klik quick action yang tersedia</x:v>
      </x:c>
      <x:c r="H21" s="2" t="str">
        <x:v>Quick action sesuai role; tidak ada error akses kosong.</x:v>
      </x:c>
      <x:c r="I21" s="2" t="str">
        <x:v>Belum Dites</x:v>
      </x:c>
      <x:c r="J21" s="2" t="str"/>
      <x:c r="K21" s="2" t="str"/>
      <x:c r="L21" s="2" t="str"/>
      <x:c r="M21" s="2" t="str"/>
    </x:row>
    <x:row r="22" ht="99.75" customHeight="1">
      <x:c r="A22" s="2" t="str">
        <x:v>MD-001</x:v>
      </x:c>
      <x:c r="B22" s="2" t="str">
        <x:v>Master Data</x:v>
      </x:c>
      <x:c r="C22" s="2" t="str">
        <x:v>Customer</x:v>
      </x:c>
      <x:c r="D22" s="2" t="str">
        <x:v>P0</x:v>
      </x:c>
      <x:c r="E22" s="2" t="str">
        <x:v>owner@company.local / owner12345; admin@company.local / admin12345</x:v>
      </x:c>
      <x:c r="F22" s="2" t="str">
        <x:v>Buat customer baru lengkap.</x:v>
      </x:c>
      <x:c r="G22" s="2" t="str">
        <x:v>Prasyarat: Login role yang berhak.
1. Buka Customer
2. Klik Baru
3. Isi nama, kontak, alamat, term, credit limit
4. Simpan</x:v>
      </x:c>
      <x:c r="H22" s="2" t="str">
        <x:v>Customer tersimpan, muncul di daftar dan bisa dipilih di order.</x:v>
      </x:c>
      <x:c r="I22" s="2" t="str">
        <x:v>Belum Dites</x:v>
      </x:c>
      <x:c r="J22" s="2" t="str"/>
      <x:c r="K22" s="2" t="str"/>
      <x:c r="L22" s="2" t="str"/>
      <x:c r="M22" s="2" t="str"/>
    </x:row>
    <x:row r="23" ht="99.75" customHeight="1">
      <x:c r="A23" s="2" t="str">
        <x:v>MD-002</x:v>
      </x:c>
      <x:c r="B23" s="2" t="str">
        <x:v>Master Data</x:v>
      </x:c>
      <x:c r="C23" s="2" t="str">
        <x:v>Customer Detail</x:v>
      </x:c>
      <x:c r="D23" s="2" t="str">
        <x:v>P0</x:v>
      </x:c>
      <x:c r="E23" s="2" t="str">
        <x:v>owner@company.local / owner12345; admin@company.local / admin12345</x:v>
      </x:c>
      <x:c r="F23" s="2" t="str">
        <x:v>Tambah master barang customer.</x:v>
      </x:c>
      <x:c r="G23" s="2" t="str">
        <x:v>Prasyarat: Customer sudah ada.
1. Buka detail customer
2. Tambah barang customer
3. Isi kode/deskripsi/default koli/berat/volume
4. Simpan</x:v>
      </x:c>
      <x:c r="H23" s="2" t="str">
        <x:v>Barang muncul di dropdown order untuk customer tersebut dengan default yang benar.</x:v>
      </x:c>
      <x:c r="I23" s="2" t="str">
        <x:v>Belum Dites</x:v>
      </x:c>
      <x:c r="J23" s="2" t="str"/>
      <x:c r="K23" s="2" t="str"/>
      <x:c r="L23" s="2" t="str"/>
      <x:c r="M23" s="2" t="str"/>
    </x:row>
    <x:row r="24" ht="99.75" customHeight="1">
      <x:c r="A24" s="2" t="str">
        <x:v>MD-003</x:v>
      </x:c>
      <x:c r="B24" s="2" t="str">
        <x:v>Master Data</x:v>
      </x:c>
      <x:c r="C24" s="2" t="str">
        <x:v>Customer Detail</x:v>
      </x:c>
      <x:c r="D24" s="2" t="str">
        <x:v>P0</x:v>
      </x:c>
      <x:c r="E24" s="2" t="str">
        <x:v>owner@company.local / owner12345; admin@company.local / admin12345</x:v>
      </x:c>
      <x:c r="F24" s="2" t="str">
        <x:v>Tambah lokasi pickup dan tujuan customer.</x:v>
      </x:c>
      <x:c r="G24" s="2" t="str">
        <x:v>Prasyarat: Customer sudah ada.
1. Buka detail customer
2. Tambah lokasi ambil
3. Tambah tujuan/penerima
4. Simpan</x:v>
      </x:c>
      <x:c r="H24" s="2" t="str">
        <x:v>Lokasi pickup dan tujuan bisa dipilih saat membuat order; snapshot alamat benar.</x:v>
      </x:c>
      <x:c r="I24" s="2" t="str">
        <x:v>Belum Dites</x:v>
      </x:c>
      <x:c r="J24" s="2" t="str"/>
      <x:c r="K24" s="2" t="str"/>
      <x:c r="L24" s="2" t="str"/>
      <x:c r="M24" s="2" t="str"/>
    </x:row>
    <x:row r="25" ht="99.75" customHeight="1">
      <x:c r="A25" s="2" t="str">
        <x:v>MD-004</x:v>
      </x:c>
      <x:c r="B25" s="2" t="str">
        <x:v>Master Data</x:v>
      </x:c>
      <x:c r="C25" s="2" t="str">
        <x:v>Customer Billing</x:v>
      </x:c>
      <x:c r="D25" s="2" t="str">
        <x:v>P1</x:v>
      </x:c>
      <x:c r="E25" s="2" t="str">
        <x:v>owner@company.local / owner12345; admin@company.local / admin12345</x:v>
      </x:c>
      <x:c r="F25" s="2" t="str">
        <x:v>Tambah rate billing customer.</x:v>
      </x:c>
      <x:c r="G25" s="2" t="str">
        <x:v>Prasyarat: Customer dan service/rute tersedia.
1. Buka detail customer
2. Tambah billing rate
3. Isi rute, armada, tarif
4. Simpan</x:v>
      </x:c>
      <x:c r="H25" s="2" t="str">
        <x:v>Rate tersimpan dan menjadi referensi tagihan bila dipilih pada DO/nota.</x:v>
      </x:c>
      <x:c r="I25" s="2" t="str">
        <x:v>Belum Dites</x:v>
      </x:c>
      <x:c r="J25" s="2" t="str"/>
      <x:c r="K25" s="2" t="str"/>
      <x:c r="L25" s="2" t="str"/>
      <x:c r="M25" s="2" t="str"/>
    </x:row>
    <x:row r="26" ht="71.25" customHeight="1">
      <x:c r="A26" s="2" t="str">
        <x:v>MD-005</x:v>
      </x:c>
      <x:c r="B26" s="2" t="str">
        <x:v>Master Data</x:v>
      </x:c>
      <x:c r="C26" s="2" t="str">
        <x:v>Customer</x:v>
      </x:c>
      <x:c r="D26" s="2" t="str">
        <x:v>P1</x:v>
      </x:c>
      <x:c r="E26" s="2" t="str">
        <x:v>owner@company.local / owner12345; admin@company.local / admin12345</x:v>
      </x:c>
      <x:c r="F26" s="2" t="str">
        <x:v>Validasi field wajib customer.</x:v>
      </x:c>
      <x:c r="G26" s="2" t="str">
        <x:v>Prasyarat: Login role berhak.
1. Buat customer tanpa nama
2. Submit</x:v>
      </x:c>
      <x:c r="H26" s="2" t="str">
        <x:v>Submit ditolak dengan pesan validasi; tidak ada customer kosong dibuat.</x:v>
      </x:c>
      <x:c r="I26" s="2" t="str">
        <x:v>Belum Dites</x:v>
      </x:c>
      <x:c r="J26" s="2" t="str"/>
      <x:c r="K26" s="2" t="str"/>
      <x:c r="L26" s="2" t="str"/>
      <x:c r="M26" s="2" t="str"/>
    </x:row>
    <x:row r="27" ht="99.75" customHeight="1">
      <x:c r="A27" s="2" t="str">
        <x:v>MD-006</x:v>
      </x:c>
      <x:c r="B27" s="2" t="str">
        <x:v>Master Data</x:v>
      </x:c>
      <x:c r="C27" s="2" t="str">
        <x:v>Jenis Armada</x:v>
      </x:c>
      <x:c r="D27" s="2" t="str">
        <x:v>P1</x:v>
      </x:c>
      <x:c r="E27" s="2" t="str">
        <x:v>owner@company.local / owner12345</x:v>
      </x:c>
      <x:c r="F27" s="2" t="str">
        <x:v>CRUD jenis armada/service.</x:v>
      </x:c>
      <x:c r="G27" s="2" t="str">
        <x:v>Prasyarat: Login owner.
1. Buka Jenis Armada
2. Tambah service
3. Edit status/nama
4. Simpan</x:v>
      </x:c>
      <x:c r="H27" s="2" t="str">
        <x:v>Service tersimpan dan muncul pada order/trip sesuai status aktif.</x:v>
      </x:c>
      <x:c r="I27" s="2" t="str">
        <x:v>Belum Dites</x:v>
      </x:c>
      <x:c r="J27" s="2" t="str"/>
      <x:c r="K27" s="2" t="str"/>
      <x:c r="L27" s="2" t="str"/>
      <x:c r="M27" s="2" t="str"/>
    </x:row>
    <x:row r="28" ht="99.75" customHeight="1">
      <x:c r="A28" s="2" t="str">
        <x:v>MD-007</x:v>
      </x:c>
      <x:c r="B28" s="2" t="str">
        <x:v>Master Data</x:v>
      </x:c>
      <x:c r="C28" s="2" t="str">
        <x:v>Biaya Rute Trip</x:v>
      </x:c>
      <x:c r="D28" s="2" t="str">
        <x:v>P0</x:v>
      </x:c>
      <x:c r="E28" s="2" t="str">
        <x:v>owner@company.local / owner12345</x:v>
      </x:c>
      <x:c r="F28" s="2" t="str">
        <x:v>Tambah biaya rute trip untuk upah/uang jalan.</x:v>
      </x:c>
      <x:c r="G28" s="2" t="str">
        <x:v>Prasyarat: Service, rute, customer tersedia.
1. Buka Biaya Rute Trip
2. Tambah rate
3. Isi asal/tujuan/kategori armada/tarif driver
4. Simpan</x:v>
      </x:c>
      <x:c r="H28" s="2" t="str">
        <x:v>Rate tersedia saat membuat/menentukan DO dan uang jalan mengambil nilai yang sesuai.</x:v>
      </x:c>
      <x:c r="I28" s="2" t="str">
        <x:v>Belum Dites</x:v>
      </x:c>
      <x:c r="J28" s="2" t="str"/>
      <x:c r="K28" s="2" t="str"/>
      <x:c r="L28" s="2" t="str"/>
      <x:c r="M28" s="2" t="str"/>
    </x:row>
    <x:row r="29" ht="99.75" customHeight="1">
      <x:c r="A29" s="2" t="str">
        <x:v>MD-008</x:v>
      </x:c>
      <x:c r="B29" s="2" t="str">
        <x:v>Master Data</x:v>
      </x:c>
      <x:c r="C29" s="2" t="str">
        <x:v>Kategori Biaya</x:v>
      </x:c>
      <x:c r="D29" s="2" t="str">
        <x:v>P1</x:v>
      </x:c>
      <x:c r="E29" s="2" t="str">
        <x:v>owner@company.local / owner12345; finance@company.local / admin12345</x:v>
      </x:c>
      <x:c r="F29" s="2" t="str">
        <x:v>Tambah kategori biaya.</x:v>
      </x:c>
      <x:c r="G29" s="2" t="str">
        <x:v>Prasyarat: Login role berhak.
1. Buka Kategori Biaya
2. Tambah kategori
3. Set scope operasional/finance
4. Simpan</x:v>
      </x:c>
      <x:c r="H29" s="2" t="str">
        <x:v>Kategori tersedia di expense/uang jalan sesuai scope.</x:v>
      </x:c>
      <x:c r="I29" s="2" t="str">
        <x:v>Belum Dites</x:v>
      </x:c>
      <x:c r="J29" s="2" t="str"/>
      <x:c r="K29" s="2" t="str"/>
      <x:c r="L29" s="2" t="str"/>
      <x:c r="M29" s="2" t="str"/>
    </x:row>
    <x:row r="30" ht="128.25" customHeight="1">
      <x:c r="A30" s="2" t="str">
        <x:v>ORD-001</x:v>
      </x:c>
      <x:c r="B30" s="2" t="str">
        <x:v>Order / Resi</x:v>
      </x:c>
      <x:c r="C30" s="2" t="str">
        <x:v>Create Order</x:v>
      </x:c>
      <x:c r="D30" s="2" t="str">
        <x:v>P0</x:v>
      </x:c>
      <x:c r="E30" s="2" t="str">
        <x:v>owner@company.local / owner12345; admin@company.local / admin12345</x:v>
      </x:c>
      <x:c r="F30" s="2" t="str">
        <x:v>Buat order dengan customer, pickup, tujuan, dan barang customer.</x:v>
      </x:c>
      <x:c r="G30" s="2" t="str">
        <x:v>Prasyarat: Master customer lengkap tersedia.
1. Buka Order / Resi
2. Klik Buat Order Baru
3. Pilih customer
4. Pilih pickup dan tujuan dari master
5. Pilih barang customer
6. Simpan</x:v>
      </x:c>
      <x:c r="H30" s="2" t="str">
        <x:v>Nomor resi terbentuk, status OPEN, item order menyimpan snapshot qty/berat/volume dan unit input.</x:v>
      </x:c>
      <x:c r="I30" s="2" t="str">
        <x:v>Belum Dites</x:v>
      </x:c>
      <x:c r="J30" s="2" t="str"/>
      <x:c r="K30" s="2" t="str"/>
      <x:c r="L30" s="2" t="str"/>
      <x:c r="M30" s="2" t="str"/>
    </x:row>
    <x:row r="31" ht="99.75" customHeight="1">
      <x:c r="A31" s="2" t="str">
        <x:v>ORD-002</x:v>
      </x:c>
      <x:c r="B31" s="2" t="str">
        <x:v>Order / Resi</x:v>
      </x:c>
      <x:c r="C31" s="2" t="str">
        <x:v>Create Order</x:v>
      </x:c>
      <x:c r="D31" s="2" t="str">
        <x:v>P0</x:v>
      </x:c>
      <x:c r="E31" s="2" t="str">
        <x:v>owner@company.local / owner12345; admin@company.local / admin12345</x:v>
      </x:c>
      <x:c r="F31" s="2" t="str">
        <x:v>Order multi pickup dan multi trip plan.</x:v>
      </x:c>
      <x:c r="G31" s="2" t="str">
        <x:v>Prasyarat: Customer punya &gt;1 pickup.
1. Buat order
2. Tambah beberapa pickup stop
3. Tambah trip plan per kendaraan/rute
4. Simpan</x:v>
      </x:c>
      <x:c r="H31" s="2" t="str">
        <x:v>Order tersimpan dengan pickupStops dan tripPlan berurutan.</x:v>
      </x:c>
      <x:c r="I31" s="2" t="str">
        <x:v>Belum Dites</x:v>
      </x:c>
      <x:c r="J31" s="2" t="str"/>
      <x:c r="K31" s="2" t="str"/>
      <x:c r="L31" s="2" t="str"/>
      <x:c r="M31" s="2" t="str"/>
    </x:row>
    <x:row r="32" ht="85.5" customHeight="1">
      <x:c r="A32" s="2" t="str">
        <x:v>ORD-003</x:v>
      </x:c>
      <x:c r="B32" s="2" t="str">
        <x:v>Order / Resi</x:v>
      </x:c>
      <x:c r="C32" s="2" t="str">
        <x:v>Edit Order</x:v>
      </x:c>
      <x:c r="D32" s="2" t="str">
        <x:v>P0</x:v>
      </x:c>
      <x:c r="E32" s="2" t="str">
        <x:v>owner@company.local / owner12345; admin@company.local / admin12345</x:v>
      </x:c>
      <x:c r="F32" s="2" t="str">
        <x:v>Edit order sebelum punya DO.</x:v>
      </x:c>
      <x:c r="G32" s="2" t="str">
        <x:v>Prasyarat: Order OPEN belum punya DO.
1. Buka detail/edit order
2. Ubah customer/tujuan/pickup/item
3. Simpan</x:v>
      </x:c>
      <x:c r="H32" s="2" t="str">
        <x:v>Perubahan tersimpan karena belum ada DO turunan.</x:v>
      </x:c>
      <x:c r="I32" s="2" t="str">
        <x:v>Belum Dites</x:v>
      </x:c>
      <x:c r="J32" s="2" t="str"/>
      <x:c r="K32" s="2" t="str"/>
      <x:c r="L32" s="2" t="str"/>
      <x:c r="M32" s="2" t="str"/>
    </x:row>
    <x:row r="33" ht="85.5" customHeight="1">
      <x:c r="A33" s="2" t="str">
        <x:v>ORD-004</x:v>
      </x:c>
      <x:c r="B33" s="2" t="str">
        <x:v>Order / Resi</x:v>
      </x:c>
      <x:c r="C33" s="2" t="str">
        <x:v>Lock Order</x:v>
      </x:c>
      <x:c r="D33" s="2" t="str">
        <x:v>P0</x:v>
      </x:c>
      <x:c r="E33" s="2" t="str">
        <x:v>owner@company.local / owner12345; admin@company.local / admin12345</x:v>
      </x:c>
      <x:c r="F33" s="2" t="str">
        <x:v>Field utama order terkunci setelah ada DO.</x:v>
      </x:c>
      <x:c r="G33" s="2" t="str">
        <x:v>Prasyarat: Order sudah punya minimal satu DO.
1. Buka edit order
2. Coba ubah customer/tujuan/pickup
3. Simpan</x:v>
      </x:c>
      <x:c r="H33" s="2" t="str">
        <x:v>Perubahan field utama ditolak atau field disabled; catatan masih boleh diubah.</x:v>
      </x:c>
      <x:c r="I33" s="2" t="str">
        <x:v>Belum Dites</x:v>
      </x:c>
      <x:c r="J33" s="2" t="str"/>
      <x:c r="K33" s="2" t="str"/>
      <x:c r="L33" s="2" t="str"/>
      <x:c r="M33" s="2" t="str"/>
    </x:row>
    <x:row r="34" ht="85.5" customHeight="1">
      <x:c r="A34" s="2" t="str">
        <x:v>ORD-005</x:v>
      </x:c>
      <x:c r="B34" s="2" t="str">
        <x:v>Order / Resi</x:v>
      </x:c>
      <x:c r="C34" s="2" t="str">
        <x:v>Partial Qty</x:v>
      </x:c>
      <x:c r="D34" s="2" t="str">
        <x:v>P0</x:v>
      </x:c>
      <x:c r="E34" s="2" t="str">
        <x:v>owner@company.local / owner12345; admin@company.local / admin12345</x:v>
      </x:c>
      <x:c r="F34" s="2" t="str">
        <x:v>Order item dikirim parsial per qty.</x:v>
      </x:c>
      <x:c r="G34" s="2" t="str">
        <x:v>Prasyarat: Order punya item qty besar.
1. Buat DO hanya sebagian qty/berat
2. Simpan DO
3. Lihat progress item order</x:v>
      </x:c>
      <x:c r="H34" s="2" t="str">
        <x:v>Assigned/delivered/pending/held qty dihitung benar; sisa masih bisa dibuat DO berikutnya.</x:v>
      </x:c>
      <x:c r="I34" s="2" t="str">
        <x:v>Belum Dites</x:v>
      </x:c>
      <x:c r="J34" s="2" t="str"/>
      <x:c r="K34" s="2" t="str"/>
      <x:c r="L34" s="2" t="str"/>
      <x:c r="M34" s="2" t="str"/>
    </x:row>
    <x:row r="35" ht="99.75" customHeight="1">
      <x:c r="A35" s="2" t="str">
        <x:v>ORD-006</x:v>
      </x:c>
      <x:c r="B35" s="2" t="str">
        <x:v>Order / Resi</x:v>
      </x:c>
      <x:c r="C35" s="2" t="str">
        <x:v>Hold Item</x:v>
      </x:c>
      <x:c r="D35" s="2" t="str">
        <x:v>P0</x:v>
      </x:c>
      <x:c r="E35" s="2" t="str">
        <x:v>owner@company.local / owner12345; admin@company.local / admin12345</x:v>
      </x:c>
      <x:c r="F35" s="2" t="str">
        <x:v>Hold sebagian sisa item order.</x:v>
      </x:c>
      <x:c r="G35" s="2" t="str">
        <x:v>Prasyarat: Order punya sisa pending.
1. Buka detail order
2. Hold sebagian qty
3. Isi alasan/lokasi
4. Simpan</x:v>
      </x:c>
      <x:c r="H35" s="2" t="str">
        <x:v>Qty held tercatat; status order ON_HOLD/PARTIAL sesuai kombinasi item.</x:v>
      </x:c>
      <x:c r="I35" s="2" t="str">
        <x:v>Belum Dites</x:v>
      </x:c>
      <x:c r="J35" s="2" t="str"/>
      <x:c r="K35" s="2" t="str"/>
      <x:c r="L35" s="2" t="str"/>
      <x:c r="M35" s="2" t="str"/>
    </x:row>
    <x:row r="36" ht="85.5" customHeight="1">
      <x:c r="A36" s="2" t="str">
        <x:v>ORD-007</x:v>
      </x:c>
      <x:c r="B36" s="2" t="str">
        <x:v>Order / Resi</x:v>
      </x:c>
      <x:c r="C36" s="2" t="str">
        <x:v>Release Hold</x:v>
      </x:c>
      <x:c r="D36" s="2" t="str">
        <x:v>P0</x:v>
      </x:c>
      <x:c r="E36" s="2" t="str">
        <x:v>owner@company.local / owner12345; admin@company.local / admin12345</x:v>
      </x:c>
      <x:c r="F36" s="2" t="str">
        <x:v>Lepas hold menjadi pending lagi.</x:v>
      </x:c>
      <x:c r="G36" s="2" t="str">
        <x:v>Prasyarat: Item order punya held qty.
1. Buka detail order
2. Release hold
3. Simpan</x:v>
      </x:c>
      <x:c r="H36" s="2" t="str">
        <x:v>Qty held turun, pending naik, bisa dibuat DO baru.</x:v>
      </x:c>
      <x:c r="I36" s="2" t="str">
        <x:v>Belum Dites</x:v>
      </x:c>
      <x:c r="J36" s="2" t="str"/>
      <x:c r="K36" s="2" t="str"/>
      <x:c r="L36" s="2" t="str"/>
      <x:c r="M36" s="2" t="str"/>
    </x:row>
    <x:row r="37" ht="71.25" customHeight="1">
      <x:c r="A37" s="2" t="str">
        <x:v>ORD-008</x:v>
      </x:c>
      <x:c r="B37" s="2" t="str">
        <x:v>Order / Resi</x:v>
      </x:c>
      <x:c r="C37" s="2" t="str">
        <x:v>Delete Order</x:v>
      </x:c>
      <x:c r="D37" s="2" t="str">
        <x:v>P1</x:v>
      </x:c>
      <x:c r="E37" s="2" t="str">
        <x:v>owner@company.local / owner12345; admin@company.local / admin12345</x:v>
      </x:c>
      <x:c r="F37" s="2" t="str">
        <x:v>Order yang sudah punya DO tidak boleh dihapus.</x:v>
      </x:c>
      <x:c r="G37" s="2" t="str">
        <x:v>Prasyarat: Order sudah punya DO.
1. Buka order
2. Klik hapus</x:v>
      </x:c>
      <x:c r="H37" s="2" t="str">
        <x:v>Hapus ditolak; data DO/nota tidak orphan.</x:v>
      </x:c>
      <x:c r="I37" s="2" t="str">
        <x:v>Belum Dites</x:v>
      </x:c>
      <x:c r="J37" s="2" t="str"/>
      <x:c r="K37" s="2" t="str"/>
      <x:c r="L37" s="2" t="str"/>
      <x:c r="M37" s="2" t="str"/>
    </x:row>
    <x:row r="38" ht="85.5" customHeight="1">
      <x:c r="A38" s="2" t="str">
        <x:v>ORD-009</x:v>
      </x:c>
      <x:c r="B38" s="2" t="str">
        <x:v>Order / Resi</x:v>
      </x:c>
      <x:c r="C38" s="2" t="str">
        <x:v>Cancel Order</x:v>
      </x:c>
      <x:c r="D38" s="2" t="str">
        <x:v>P1</x:v>
      </x:c>
      <x:c r="E38" s="2" t="str">
        <x:v>owner@company.local / owner12345; admin@company.local / admin12345</x:v>
      </x:c>
      <x:c r="F38" s="2" t="str">
        <x:v>Cancel order hanya valid saat belum mengganggu dokumen turunan final.</x:v>
      </x:c>
      <x:c r="G38" s="2" t="str">
        <x:v>Prasyarat: Siapkan order tanpa dokumen final dan order dengan dokumen final.
1. Coba cancel order tanpa turunan final
2. Coba cancel order dengan DO/nota final</x:v>
      </x:c>
      <x:c r="H38" s="2" t="str">
        <x:v>Kasus valid berhasil; kasus terkunci ditolak dengan pesan jelas.</x:v>
      </x:c>
      <x:c r="I38" s="2" t="str">
        <x:v>Belum Dites</x:v>
      </x:c>
      <x:c r="J38" s="2" t="str"/>
      <x:c r="K38" s="2" t="str"/>
      <x:c r="L38" s="2" t="str"/>
      <x:c r="M38" s="2" t="str"/>
    </x:row>
    <x:row r="39" ht="99.75" customHeight="1">
      <x:c r="A39" s="2" t="str">
        <x:v>DO-001</x:v>
      </x:c>
      <x:c r="B39" s="2" t="str">
        <x:v>Trip / DO / Surat Jalan</x:v>
      </x:c>
      <x:c r="C39" s="2" t="str">
        <x:v>Create DO</x:v>
      </x:c>
      <x:c r="D39" s="2" t="str">
        <x:v>P0</x:v>
      </x:c>
      <x:c r="E39" s="2" t="str">
        <x:v>owner@company.local / owner12345; admin@company.local / admin12345</x:v>
      </x:c>
      <x:c r="F39" s="2" t="str">
        <x:v>Buat DO dari order dengan satu SJ dan barang.</x:v>
      </x:c>
      <x:c r="G39" s="2" t="str">
        <x:v>Prasyarat: Order OPEN dengan item pending.
1. Buka detail order
2. Klik Buat Surat Jalan
3. Pilih item, kendaraan, driver, SJ
4. Simpan</x:v>
      </x:c>
      <x:c r="H39" s="2" t="str">
        <x:v>DO CREATED, item order assigned, suratJalan record terbentuk, resource driver/kendaraan terkunci.</x:v>
      </x:c>
      <x:c r="I39" s="2" t="str">
        <x:v>Belum Dites</x:v>
      </x:c>
      <x:c r="J39" s="2" t="str"/>
      <x:c r="K39" s="2" t="str"/>
      <x:c r="L39" s="2" t="str"/>
      <x:c r="M39" s="2" t="str"/>
    </x:row>
    <x:row r="40" ht="99.75" customHeight="1">
      <x:c r="A40" s="2" t="str">
        <x:v>DO-002</x:v>
      </x:c>
      <x:c r="B40" s="2" t="str">
        <x:v>Trip / DO / Surat Jalan</x:v>
      </x:c>
      <x:c r="C40" s="2" t="str">
        <x:v>Multi SJ</x:v>
      </x:c>
      <x:c r="D40" s="2" t="str">
        <x:v>P0</x:v>
      </x:c>
      <x:c r="E40" s="2" t="str">
        <x:v>owner@company.local / owner12345; admin@company.local / admin12345</x:v>
      </x:c>
      <x:c r="F40" s="2" t="str">
        <x:v>Buat DO dengan banyak SJ dan banyak barang.</x:v>
      </x:c>
      <x:c r="G40" s="2" t="str">
        <x:v>Prasyarat: Order punya beberapa item/pickup.
1. Buat DO
2. Tambah &gt;1 SJ
3. Mapping barang ke tiap SJ
4. Simpan</x:v>
      </x:c>
      <x:c r="H40" s="2" t="str">
        <x:v>Setiap SJ punya record, item terkait ke shipperReference benar.</x:v>
      </x:c>
      <x:c r="I40" s="2" t="str">
        <x:v>Belum Dites</x:v>
      </x:c>
      <x:c r="J40" s="2" t="str"/>
      <x:c r="K40" s="2" t="str"/>
      <x:c r="L40" s="2" t="str"/>
      <x:c r="M40" s="2" t="str"/>
    </x:row>
    <x:row r="41" ht="99.75" customHeight="1">
      <x:c r="A41" s="2" t="str">
        <x:v>DO-003</x:v>
      </x:c>
      <x:c r="B41" s="2" t="str">
        <x:v>Trip / DO / Surat Jalan</x:v>
      </x:c>
      <x:c r="C41" s="2" t="str">
        <x:v>Unassigned DO</x:v>
      </x:c>
      <x:c r="D41" s="2" t="str">
        <x:v>P0</x:v>
      </x:c>
      <x:c r="E41" s="2" t="str">
        <x:v>owner@company.local / owner12345; admin@company.local / admin12345</x:v>
      </x:c>
      <x:c r="F41" s="2" t="str">
        <x:v>Buat DO tanpa supir lalu lengkapi armada.</x:v>
      </x:c>
      <x:c r="G41" s="2" t="str">
        <x:v>Prasyarat: Order tersedia.
1. Buat DO tanpa driver
2. Buka detail DO
3. Lengkapi supir/kendaraan
4. Simpan</x:v>
      </x:c>
      <x:c r="H41" s="2" t="str">
        <x:v>DO bisa dibuat, lalu driver/kendaraan tersimpan dan muncul di app driver setelah lengkap.</x:v>
      </x:c>
      <x:c r="I41" s="2" t="str">
        <x:v>Belum Dites</x:v>
      </x:c>
      <x:c r="J41" s="2" t="str"/>
      <x:c r="K41" s="2" t="str"/>
      <x:c r="L41" s="2" t="str"/>
      <x:c r="M41" s="2" t="str"/>
    </x:row>
    <x:row r="42" ht="85.5" customHeight="1">
      <x:c r="A42" s="2" t="str">
        <x:v>DO-004</x:v>
      </x:c>
      <x:c r="B42" s="2" t="str">
        <x:v>Trip / DO / Surat Jalan</x:v>
      </x:c>
      <x:c r="C42" s="2" t="str">
        <x:v>Resource Lock</x:v>
      </x:c>
      <x:c r="D42" s="2" t="str">
        <x:v>P0</x:v>
      </x:c>
      <x:c r="E42" s="2" t="str">
        <x:v>owner@company.local / owner12345; admin@company.local / admin12345; armada@company.local / admin12345</x:v>
      </x:c>
      <x:c r="F42" s="2" t="str">
        <x:v>Supir/kendaraan aktif tidak boleh dipakai dobel.</x:v>
      </x:c>
      <x:c r="G42" s="2" t="str">
        <x:v>Prasyarat: Ada DO aktif memakai driver/kendaraan.
1. Buat DO baru
2. Pilih driver/kendaraan yang sedang aktif</x:v>
      </x:c>
      <x:c r="H42" s="2" t="str">
        <x:v>Pilihan tidak tersedia atau submit ditolak; tidak ada double booking.</x:v>
      </x:c>
      <x:c r="I42" s="2" t="str">
        <x:v>Belum Dites</x:v>
      </x:c>
      <x:c r="J42" s="2" t="str"/>
      <x:c r="K42" s="2" t="str"/>
      <x:c r="L42" s="2" t="str"/>
      <x:c r="M42" s="2" t="str"/>
    </x:row>
    <x:row r="43" ht="85.5" customHeight="1">
      <x:c r="A43" s="2" t="str">
        <x:v>DO-005</x:v>
      </x:c>
      <x:c r="B43" s="2" t="str">
        <x:v>Trip / DO / Surat Jalan</x:v>
      </x:c>
      <x:c r="C43" s="2" t="str">
        <x:v>Status Progress</x:v>
      </x:c>
      <x:c r="D43" s="2" t="str">
        <x:v>P0</x:v>
      </x:c>
      <x:c r="E43" s="2" t="str">
        <x:v>owner@company.local / owner12345; admin@company.local / admin12345</x:v>
      </x:c>
      <x:c r="F43" s="2" t="str">
        <x:v>Ubah status DO CREATED -&gt; HEADING_TO_PICKUP -&gt; ON_DELIVERY -&gt; ARRIVED.</x:v>
      </x:c>
      <x:c r="G43" s="2" t="str">
        <x:v>Prasyarat: DO aktif.
1. Buka detail DO
2. Ubah status bertahap
3. Cek order item/status trip</x:v>
      </x:c>
      <x:c r="H43" s="2" t="str">
        <x:v>Status DO, trip, order item, tracking log sinkron.</x:v>
      </x:c>
      <x:c r="I43" s="2" t="str">
        <x:v>Belum Dites</x:v>
      </x:c>
      <x:c r="J43" s="2" t="str"/>
      <x:c r="K43" s="2" t="str"/>
      <x:c r="L43" s="2" t="str"/>
      <x:c r="M43" s="2" t="str"/>
    </x:row>
    <x:row r="44" ht="128.25" customHeight="1">
      <x:c r="A44" s="2" t="str">
        <x:v>DO-006</x:v>
      </x:c>
      <x:c r="B44" s="2" t="str">
        <x:v>Trip / DO / Surat Jalan</x:v>
      </x:c>
      <x:c r="C44" s="2" t="str">
        <x:v>Admin Final</x:v>
      </x:c>
      <x:c r="D44" s="2" t="str">
        <x:v>P0</x:v>
      </x:c>
      <x:c r="E44" s="2" t="str">
        <x:v>owner@company.local / owner12345; admin@company.local / admin12345</x:v>
      </x:c>
      <x:c r="F44" s="2" t="str">
        <x:v>Admin finalisasi DO ke DELIVERED dengan POD, aktual, dan drop.</x:v>
      </x:c>
      <x:c r="G44" s="2" t="str">
        <x:v>Prasyarat: DO ARRIVED/ON_DELIVERY.
1. Buka detail DO
2. Pilih DELIVERED
3. Isi POD receiver/date
4. Isi aktual barang
5. Isi titik drop
6. Simpan</x:v>
      </x:c>
      <x:c r="H44" s="2" t="str">
        <x:v>DO DELIVERED, POD final, actual item/drop tersimpan, order progress sinkron.</x:v>
      </x:c>
      <x:c r="I44" s="2" t="str">
        <x:v>Belum Dites</x:v>
      </x:c>
      <x:c r="J44" s="2" t="str"/>
      <x:c r="K44" s="2" t="str"/>
      <x:c r="L44" s="2" t="str"/>
      <x:c r="M44" s="2" t="str"/>
    </x:row>
    <x:row r="45" ht="85.5" customHeight="1">
      <x:c r="A45" s="2" t="str">
        <x:v>DO-007</x:v>
      </x:c>
      <x:c r="B45" s="2" t="str">
        <x:v>Trip / DO / Surat Jalan</x:v>
      </x:c>
      <x:c r="C45" s="2" t="str">
        <x:v>Drop Mismatch Guard</x:v>
      </x:c>
      <x:c r="D45" s="2" t="str">
        <x:v>P0</x:v>
      </x:c>
      <x:c r="E45" s="2" t="str">
        <x:v>owner@company.local / owner12345; admin@company.local / admin12345</x:v>
      </x:c>
      <x:c r="F45" s="2" t="str">
        <x:v>Total titik drop harus sama dengan aktual barang.</x:v>
      </x:c>
      <x:c r="G45" s="2" t="str">
        <x:v>Prasyarat: DO siap final.
1. Isi aktual barang 100
2. Isi drop total 90 atau 110
3. Submit final</x:v>
      </x:c>
      <x:c r="H45" s="2" t="str">
        <x:v>Submit ditolak; pesan mismatch jelas; tidak ada finalisasi parsial.</x:v>
      </x:c>
      <x:c r="I45" s="2" t="str">
        <x:v>Belum Dites</x:v>
      </x:c>
      <x:c r="J45" s="2" t="str"/>
      <x:c r="K45" s="2" t="str"/>
      <x:c r="L45" s="2" t="str"/>
      <x:c r="M45" s="2" t="str"/>
    </x:row>
    <x:row r="46" ht="71.25" customHeight="1">
      <x:c r="A46" s="2" t="str">
        <x:v>DO-008</x:v>
      </x:c>
      <x:c r="B46" s="2" t="str">
        <x:v>Trip / DO / Surat Jalan</x:v>
      </x:c>
      <x:c r="C46" s="2" t="str">
        <x:v>Actual Bigger Than Plan</x:v>
      </x:c>
      <x:c r="D46" s="2" t="str">
        <x:v>P0</x:v>
      </x:c>
      <x:c r="E46" s="2" t="str">
        <x:v>owner@company.local / owner12345; admin@company.local / admin12345</x:v>
      </x:c>
      <x:c r="F46" s="2" t="str">
        <x:v>Aktual lebih besar dari estimasi tidak terpotong palsu.</x:v>
      </x:c>
      <x:c r="G46" s="2" t="str">
        <x:v>Prasyarat: DO punya estimasi lebih kecil.
1. Finalisasi DO dengan berat aktual &gt; rencana
2. Cek order item dan nota eligibility</x:v>
      </x:c>
      <x:c r="H46" s="2" t="str">
        <x:v>Order item dinaikkan secukupnya; nota memakai aktual final.</x:v>
      </x:c>
      <x:c r="I46" s="2" t="str">
        <x:v>Belum Dites</x:v>
      </x:c>
      <x:c r="J46" s="2" t="str"/>
      <x:c r="K46" s="2" t="str"/>
      <x:c r="L46" s="2" t="str"/>
      <x:c r="M46" s="2" t="str"/>
    </x:row>
    <x:row r="47" ht="99.75" customHeight="1">
      <x:c r="A47" s="2" t="str">
        <x:v>DO-009</x:v>
      </x:c>
      <x:c r="B47" s="2" t="str">
        <x:v>Trip / DO / Surat Jalan</x:v>
      </x:c>
      <x:c r="C47" s="2" t="str">
        <x:v>Edit SJ Before Final</x:v>
      </x:c>
      <x:c r="D47" s="2" t="str">
        <x:v>P0</x:v>
      </x:c>
      <x:c r="E47" s="2" t="str">
        <x:v>owner@company.local / owner12345; admin@company.local / admin12345</x:v>
      </x:c>
      <x:c r="F47" s="2" t="str">
        <x:v>Edit nomor SJ sebelum final/nota/borongan.</x:v>
      </x:c>
      <x:c r="G47" s="2" t="str">
        <x:v>Prasyarat: DO belum final dan belum masuk nota.
1. Buka detail DO
2. Edit nomor SJ
3. Simpan
4. Cek surat jalan dan item</x:v>
      </x:c>
      <x:c r="H47" s="2" t="str">
        <x:v>Nomor SJ berubah, item dan suratJalan record ikut sinkron, tidak ada stale record.</x:v>
      </x:c>
      <x:c r="I47" s="2" t="str">
        <x:v>Belum Dites</x:v>
      </x:c>
      <x:c r="J47" s="2" t="str"/>
      <x:c r="K47" s="2" t="str"/>
      <x:c r="L47" s="2" t="str"/>
      <x:c r="M47" s="2" t="str"/>
    </x:row>
    <x:row r="48" ht="99.75" customHeight="1">
      <x:c r="A48" s="2" t="str">
        <x:v>DO-010</x:v>
      </x:c>
      <x:c r="B48" s="2" t="str">
        <x:v>Trip / DO / Surat Jalan</x:v>
      </x:c>
      <x:c r="C48" s="2" t="str">
        <x:v>Add SJ Before Final</x:v>
      </x:c>
      <x:c r="D48" s="2" t="str">
        <x:v>P0</x:v>
      </x:c>
      <x:c r="E48" s="2" t="str">
        <x:v>owner@company.local / owner12345; admin@company.local / admin12345</x:v>
      </x:c>
      <x:c r="F48" s="2" t="str">
        <x:v>Tambah SJ dan barang di tengah jalan.</x:v>
      </x:c>
      <x:c r="G48" s="2" t="str">
        <x:v>Prasyarat: DO aktif belum final.
1. Buka detail DO
2. Tambah SJ
3. Tambah barang/mapping pickup
4. Simpan</x:v>
      </x:c>
      <x:c r="H48" s="2" t="str">
        <x:v>SJ baru CREATED, barang baru terkait ke DO/order, bisa ikut finalisasi.</x:v>
      </x:c>
      <x:c r="I48" s="2" t="str">
        <x:v>Belum Dites</x:v>
      </x:c>
      <x:c r="J48" s="2" t="str"/>
      <x:c r="K48" s="2" t="str"/>
      <x:c r="L48" s="2" t="str"/>
      <x:c r="M48" s="2" t="str"/>
    </x:row>
    <x:row r="49" ht="85.5" customHeight="1">
      <x:c r="A49" s="2" t="str">
        <x:v>DO-011</x:v>
      </x:c>
      <x:c r="B49" s="2" t="str">
        <x:v>Trip / DO / Surat Jalan</x:v>
      </x:c>
      <x:c r="C49" s="2" t="str">
        <x:v>Delete SJ Before Final</x:v>
      </x:c>
      <x:c r="D49" s="2" t="str">
        <x:v>P0</x:v>
      </x:c>
      <x:c r="E49" s="2" t="str">
        <x:v>owner@company.local / owner12345; admin@company.local / admin12345</x:v>
      </x:c>
      <x:c r="F49" s="2" t="str">
        <x:v>Hapus SJ tambahan sebelum final.</x:v>
      </x:c>
      <x:c r="G49" s="2" t="str">
        <x:v>Prasyarat: DO aktif punya &gt;1 SJ.
1. Buka detail DO
2. Hapus salah satu SJ
3. Simpan</x:v>
      </x:c>
      <x:c r="H49" s="2" t="str">
        <x:v>SJ terhapus, barang terkait ikut bersih bila memang draft/DO-sourced, tidak ada suratJalan stale.</x:v>
      </x:c>
      <x:c r="I49" s="2" t="str">
        <x:v>Belum Dites</x:v>
      </x:c>
      <x:c r="J49" s="2" t="str"/>
      <x:c r="K49" s="2" t="str"/>
      <x:c r="L49" s="2" t="str"/>
      <x:c r="M49" s="2" t="str"/>
    </x:row>
    <x:row r="50" ht="85.5" customHeight="1">
      <x:c r="A50" s="2" t="str">
        <x:v>DO-012</x:v>
      </x:c>
      <x:c r="B50" s="2" t="str">
        <x:v>Trip / DO / Surat Jalan</x:v>
      </x:c>
      <x:c r="C50" s="2" t="str">
        <x:v>SJ Lock After Nota</x:v>
      </x:c>
      <x:c r="D50" s="2" t="str">
        <x:v>P0</x:v>
      </x:c>
      <x:c r="E50" s="2" t="str">
        <x:v>owner@company.local / owner12345; admin@company.local / admin12345</x:v>
      </x:c>
      <x:c r="F50" s="2" t="str">
        <x:v>SJ yang sudah masuk nota tidak boleh diubah.</x:v>
      </x:c>
      <x:c r="G50" s="2" t="str">
        <x:v>Prasyarat: DO sudah masuk nota.
1. Buka DO
2. Coba edit/hapus SJ
3. Simpan</x:v>
      </x:c>
      <x:c r="H50" s="2" t="str">
        <x:v>Ditolak dengan pesan bahwa DO sudah masuk invoice/nota.</x:v>
      </x:c>
      <x:c r="I50" s="2" t="str">
        <x:v>Belum Dites</x:v>
      </x:c>
      <x:c r="J50" s="2" t="str"/>
      <x:c r="K50" s="2" t="str"/>
      <x:c r="L50" s="2" t="str"/>
      <x:c r="M50" s="2" t="str"/>
    </x:row>
    <x:row r="51" ht="85.5" customHeight="1">
      <x:c r="A51" s="2" t="str">
        <x:v>DO-013</x:v>
      </x:c>
      <x:c r="B51" s="2" t="str">
        <x:v>Trip / DO / Surat Jalan</x:v>
      </x:c>
      <x:c r="C51" s="2" t="str">
        <x:v>Pending Approval Lock</x:v>
      </x:c>
      <x:c r="D51" s="2" t="str">
        <x:v>P0</x:v>
      </x:c>
      <x:c r="E51" s="2" t="str">
        <x:v>owner@company.local / owner12345; admin@company.local / admin12345; driver.agus@company.local / driver12345</x:v>
      </x:c>
      <x:c r="F51" s="2" t="str">
        <x:v>SJ/barang tidak bisa diubah saat ada pending approval driver.</x:v>
      </x:c>
      <x:c r="G51" s="2" t="str">
        <x:v>Prasyarat: Driver sudah ajukan selesai/tutup trip.
1. Dari mobile ajukan selesai
2. Admin belum approve
3. Coba edit SJ/barang</x:v>
      </x:c>
      <x:c r="H51" s="2" t="str">
        <x:v>Edit ditolak sampai admin approve/reject request.</x:v>
      </x:c>
      <x:c r="I51" s="2" t="str">
        <x:v>Belum Dites</x:v>
      </x:c>
      <x:c r="J51" s="2" t="str"/>
      <x:c r="K51" s="2" t="str"/>
      <x:c r="L51" s="2" t="str"/>
      <x:c r="M51" s="2" t="str"/>
    </x:row>
    <x:row r="52" ht="71.25" customHeight="1">
      <x:c r="A52" s="2" t="str">
        <x:v>DO-014</x:v>
      </x:c>
      <x:c r="B52" s="2" t="str">
        <x:v>Trip / DO / Surat Jalan</x:v>
      </x:c>
      <x:c r="C52" s="2" t="str">
        <x:v>Trip Closed Lock</x:v>
      </x:c>
      <x:c r="D52" s="2" t="str">
        <x:v>P0</x:v>
      </x:c>
      <x:c r="E52" s="2" t="str">
        <x:v>owner@company.local / owner12345; admin@company.local / admin12345</x:v>
      </x:c>
      <x:c r="F52" s="2" t="str">
        <x:v>Trip yang sudah ditutup admin tidak bisa ubah SJ/barang.</x:v>
      </x:c>
      <x:c r="G52" s="2" t="str">
        <x:v>Prasyarat: Trip closed by admin.
1. Buka DO closed
2. Coba ubah SJ/barang</x:v>
      </x:c>
      <x:c r="H52" s="2" t="str">
        <x:v>Ditolak; harus buka kembali trip lewat workflow admin jika memang perlu.</x:v>
      </x:c>
      <x:c r="I52" s="2" t="str">
        <x:v>Belum Dites</x:v>
      </x:c>
      <x:c r="J52" s="2" t="str"/>
      <x:c r="K52" s="2" t="str"/>
      <x:c r="L52" s="2" t="str"/>
      <x:c r="M52" s="2" t="str"/>
    </x:row>
    <x:row r="53" ht="99.75" customHeight="1">
      <x:c r="A53" s="2" t="str">
        <x:v>DO-015</x:v>
      </x:c>
      <x:c r="B53" s="2" t="str">
        <x:v>Surat Jalan</x:v>
      </x:c>
      <x:c r="C53" s="2" t="str">
        <x:v>Print &amp; Detail</x:v>
      </x:c>
      <x:c r="D53" s="2" t="str">
        <x:v>P1</x:v>
      </x:c>
      <x:c r="E53" s="2" t="str">
        <x:v>owner@company.local / owner12345; admin@company.local / admin12345; finance@company.local / admin12345; armada@company.local / admin12345</x:v>
      </x:c>
      <x:c r="F53" s="2" t="str">
        <x:v>Print/detail Surat Jalan sesuai data DO.</x:v>
      </x:c>
      <x:c r="G53" s="2" t="str">
        <x:v>Prasyarat: DO punya SJ dan barang.
1. Buka /surat-jalan
2. Filter/cari SJ
3. Buka detail/print</x:v>
      </x:c>
      <x:c r="H53" s="2" t="str">
        <x:v>Data SJ, barang, driver, kendaraan, pickup/drop tampil benar.</x:v>
      </x:c>
      <x:c r="I53" s="2" t="str">
        <x:v>Belum Dites</x:v>
      </x:c>
      <x:c r="J53" s="2" t="str"/>
      <x:c r="K53" s="2" t="str"/>
      <x:c r="L53" s="2" t="str"/>
      <x:c r="M53" s="2" t="str"/>
    </x:row>
    <x:row r="54" ht="99.75" customHeight="1">
      <x:c r="A54" s="2" t="str">
        <x:v>DO-016</x:v>
      </x:c>
      <x:c r="B54" s="2" t="str">
        <x:v>Trip / DO / Surat Jalan</x:v>
      </x:c>
      <x:c r="C54" s="2" t="str">
        <x:v>Cancel Trip</x:v>
      </x:c>
      <x:c r="D54" s="2" t="str">
        <x:v>P0</x:v>
      </x:c>
      <x:c r="E54" s="2" t="str">
        <x:v>owner@company.local / owner12345; admin@company.local / admin12345</x:v>
      </x:c>
      <x:c r="F54" s="2" t="str">
        <x:v>Batalkan trip aktif yang valid.</x:v>
      </x:c>
      <x:c r="G54" s="2" t="str">
        <x:v>Prasyarat: DO aktif belum final/nota.
1. Buka DO
2. Cancel trip
3. Isi alasan
4. Simpan</x:v>
      </x:c>
      <x:c r="H54" s="2" t="str">
        <x:v>DO CANCELLED, resource lock dilepas, order item kembali sesuai rule, tracking stopped.</x:v>
      </x:c>
      <x:c r="I54" s="2" t="str">
        <x:v>Belum Dites</x:v>
      </x:c>
      <x:c r="J54" s="2" t="str"/>
      <x:c r="K54" s="2" t="str"/>
      <x:c r="L54" s="2" t="str"/>
      <x:c r="M54" s="2" t="str"/>
    </x:row>
    <x:row r="55" ht="71.25" customHeight="1">
      <x:c r="A55" s="2" t="str">
        <x:v>DRV-001</x:v>
      </x:c>
      <x:c r="B55" s="2" t="str">
        <x:v>Driver Mobile / Portal</x:v>
      </x:c>
      <x:c r="C55" s="2" t="str">
        <x:v>Trip List</x:v>
      </x:c>
      <x:c r="D55" s="2" t="str">
        <x:v>P0</x:v>
      </x:c>
      <x:c r="E55" s="2" t="str">
        <x:v>driver.agus@company.local / driver12345</x:v>
      </x:c>
      <x:c r="F55" s="2" t="str">
        <x:v>Driver hanya melihat trip miliknya.</x:v>
      </x:c>
      <x:c r="G55" s="2" t="str">
        <x:v>Prasyarat: Driver punya DO aktif dan driver lain juga punya DO.
1. Login driver
2. Lihat daftar trip</x:v>
      </x:c>
      <x:c r="H55" s="2" t="str">
        <x:v>Hanya DO milik driver login yang tampil; data driver lain tidak terlihat.</x:v>
      </x:c>
      <x:c r="I55" s="2" t="str">
        <x:v>Belum Dites</x:v>
      </x:c>
      <x:c r="J55" s="2" t="str"/>
      <x:c r="K55" s="2" t="str"/>
      <x:c r="L55" s="2" t="str"/>
      <x:c r="M55" s="2" t="str"/>
    </x:row>
    <x:row r="56" ht="99.75" customHeight="1">
      <x:c r="A56" s="2" t="str">
        <x:v>DRV-002</x:v>
      </x:c>
      <x:c r="B56" s="2" t="str">
        <x:v>Driver Mobile / Portal</x:v>
      </x:c>
      <x:c r="C56" s="2" t="str">
        <x:v>Create DO From Trip Plan</x:v>
      </x:c>
      <x:c r="D56" s="2" t="str">
        <x:v>P0</x:v>
      </x:c>
      <x:c r="E56" s="2" t="str">
        <x:v>driver.agus@company.local / driver12345</x:v>
      </x:c>
      <x:c r="F56" s="2" t="str">
        <x:v>Driver membuat DO dari trip plan order dengan input SJ.</x:v>
      </x:c>
      <x:c r="G56" s="2" t="str">
        <x:v>Prasyarat: Admin assign trip plan ke driver, belum linked DO.
1. Login driver
2. Buka trip plan
3. Input SJ
4. Simpan</x:v>
      </x:c>
      <x:c r="H56" s="2" t="str">
        <x:v>DO dibuat dari trip plan, item order pending auto-selected bila mode barang mengikuti order.</x:v>
      </x:c>
      <x:c r="I56" s="2" t="str">
        <x:v>Belum Dites</x:v>
      </x:c>
      <x:c r="J56" s="2" t="str"/>
      <x:c r="K56" s="2" t="str"/>
      <x:c r="L56" s="2" t="str"/>
      <x:c r="M56" s="2" t="str"/>
    </x:row>
    <x:row r="57" ht="114" customHeight="1">
      <x:c r="A57" s="2" t="str">
        <x:v>DRV-003</x:v>
      </x:c>
      <x:c r="B57" s="2" t="str">
        <x:v>Driver Mobile / Portal</x:v>
      </x:c>
      <x:c r="C57" s="2" t="str">
        <x:v>Tambah SJ</x:v>
      </x:c>
      <x:c r="D57" s="2" t="str">
        <x:v>P0</x:v>
      </x:c>
      <x:c r="E57" s="2" t="str">
        <x:v>driver.agus@company.local / driver12345</x:v>
      </x:c>
      <x:c r="F57" s="2" t="str">
        <x:v>Driver tambah SJ sebelum aktual final.</x:v>
      </x:c>
      <x:c r="G57" s="2" t="str">
        <x:v>Prasyarat: DO aktif belum pending approval.
1. Buka trip
2. Kelola SJ
3. Klik Tambah SJ
4. Isi nomor SJ dan pickup
5. Simpan</x:v>
      </x:c>
      <x:c r="H57" s="2" t="str">
        <x:v>SJ tersimpan di admin, muncul di batch finalisasi/nota sesuai status.</x:v>
      </x:c>
      <x:c r="I57" s="2" t="str">
        <x:v>Belum Dites</x:v>
      </x:c>
      <x:c r="J57" s="2" t="str"/>
      <x:c r="K57" s="2" t="str"/>
      <x:c r="L57" s="2" t="str"/>
      <x:c r="M57" s="2" t="str"/>
    </x:row>
    <x:row r="58" ht="99.75" customHeight="1">
      <x:c r="A58" s="2" t="str">
        <x:v>DRV-004</x:v>
      </x:c>
      <x:c r="B58" s="2" t="str">
        <x:v>Driver Mobile / Portal</x:v>
      </x:c>
      <x:c r="C58" s="2" t="str">
        <x:v>Edit SJ</x:v>
      </x:c>
      <x:c r="D58" s="2" t="str">
        <x:v>P0</x:v>
      </x:c>
      <x:c r="E58" s="2" t="str">
        <x:v>driver.agus@company.local / driver12345</x:v>
      </x:c>
      <x:c r="F58" s="2" t="str">
        <x:v>Driver edit nomor SJ yang salah sebelum aktual final.</x:v>
      </x:c>
      <x:c r="G58" s="2" t="str">
        <x:v>Prasyarat: DO aktif belum pending approval/nota.
1. Buka Kelola SJ
2. Edit nomor SJ
3. Simpan
4. Refresh admin</x:v>
      </x:c>
      <x:c r="H58" s="2" t="str">
        <x:v>Nomor SJ admin ikut berubah; relasi barang tetap benar.</x:v>
      </x:c>
      <x:c r="I58" s="2" t="str">
        <x:v>Belum Dites</x:v>
      </x:c>
      <x:c r="J58" s="2" t="str"/>
      <x:c r="K58" s="2" t="str"/>
      <x:c r="L58" s="2" t="str"/>
      <x:c r="M58" s="2" t="str"/>
    </x:row>
    <x:row r="59" ht="85.5" customHeight="1">
      <x:c r="A59" s="2" t="str">
        <x:v>DRV-005</x:v>
      </x:c>
      <x:c r="B59" s="2" t="str">
        <x:v>Driver Mobile / Portal</x:v>
      </x:c>
      <x:c r="C59" s="2" t="str">
        <x:v>Hapus SJ</x:v>
      </x:c>
      <x:c r="D59" s="2" t="str">
        <x:v>P0</x:v>
      </x:c>
      <x:c r="E59" s="2" t="str">
        <x:v>driver.agus@company.local / driver12345</x:v>
      </x:c>
      <x:c r="F59" s="2" t="str">
        <x:v>Driver hapus SJ tambahan yang salah sebelum aktual final.</x:v>
      </x:c>
      <x:c r="G59" s="2" t="str">
        <x:v>Prasyarat: DO aktif punya &gt;1 SJ.
1. Buka Kelola SJ
2. Klik Hapus SJ pada SJ tambahan
3. Simpan</x:v>
      </x:c>
      <x:c r="H59" s="2" t="str">
        <x:v>SJ tambahan terhapus; barang terkait ikut bersih sesuai rule; minimal satu SJ tetap ada.</x:v>
      </x:c>
      <x:c r="I59" s="2" t="str">
        <x:v>Belum Dites</x:v>
      </x:c>
      <x:c r="J59" s="2" t="str"/>
      <x:c r="K59" s="2" t="str"/>
      <x:c r="L59" s="2" t="str"/>
      <x:c r="M59" s="2" t="str"/>
    </x:row>
    <x:row r="60" ht="99.75" customHeight="1">
      <x:c r="A60" s="2" t="str">
        <x:v>DRV-006</x:v>
      </x:c>
      <x:c r="B60" s="2" t="str">
        <x:v>Driver Mobile / Portal</x:v>
      </x:c>
      <x:c r="C60" s="2" t="str">
        <x:v>Tambah Barang</x:v>
      </x:c>
      <x:c r="D60" s="2" t="str">
        <x:v>P0</x:v>
      </x:c>
      <x:c r="E60" s="2" t="str">
        <x:v>driver.agus@company.local / driver12345</x:v>
      </x:c>
      <x:c r="F60" s="2" t="str">
        <x:v>Driver tambah barang ke SJ direct cargo.</x:v>
      </x:c>
      <x:c r="G60" s="2" t="str">
        <x:v>Prasyarat: DO aktif allowsDirectCargoInput true.
1. Kelola SJ &amp; Barang
2. Tambah Barang di SJ
3. Isi deskripsi/koli/berat/unit/volume
4. Simpan</x:v>
      </x:c>
      <x:c r="H60" s="2" t="str">
        <x:v>Barang muncul di detail DO admin, unit tersimpan sebagai input asli dan normalized value benar.</x:v>
      </x:c>
      <x:c r="I60" s="2" t="str">
        <x:v>Belum Dites</x:v>
      </x:c>
      <x:c r="J60" s="2" t="str"/>
      <x:c r="K60" s="2" t="str"/>
      <x:c r="L60" s="2" t="str"/>
      <x:c r="M60" s="2" t="str"/>
    </x:row>
    <x:row r="61" ht="85.5" customHeight="1">
      <x:c r="A61" s="2" t="str">
        <x:v>DRV-007</x:v>
      </x:c>
      <x:c r="B61" s="2" t="str">
        <x:v>Driver Mobile / Portal</x:v>
      </x:c>
      <x:c r="C61" s="2" t="str">
        <x:v>Edit Barang</x:v>
      </x:c>
      <x:c r="D61" s="2" t="str">
        <x:v>P0</x:v>
      </x:c>
      <x:c r="E61" s="2" t="str">
        <x:v>driver.agus@company.local / driver12345</x:v>
      </x:c>
      <x:c r="F61" s="2" t="str">
        <x:v>Driver edit barang sebelum approval/final.</x:v>
      </x:c>
      <x:c r="G61" s="2" t="str">
        <x:v>Prasyarat: DO aktif punya barang driver-created.
1. Buka Kelola SJ &amp; Barang
2. Edit deskripsi/koli/berat
3. Simpan</x:v>
      </x:c>
      <x:c r="H61" s="2" t="str">
        <x:v>Barang admin ikut berubah; audit log tercatat.</x:v>
      </x:c>
      <x:c r="I61" s="2" t="str">
        <x:v>Belum Dites</x:v>
      </x:c>
      <x:c r="J61" s="2" t="str"/>
      <x:c r="K61" s="2" t="str"/>
      <x:c r="L61" s="2" t="str"/>
      <x:c r="M61" s="2" t="str"/>
    </x:row>
    <x:row r="62" ht="85.5" customHeight="1">
      <x:c r="A62" s="2" t="str">
        <x:v>DRV-008</x:v>
      </x:c>
      <x:c r="B62" s="2" t="str">
        <x:v>Driver Mobile / Portal</x:v>
      </x:c>
      <x:c r="C62" s="2" t="str">
        <x:v>Hapus Barang</x:v>
      </x:c>
      <x:c r="D62" s="2" t="str">
        <x:v>P0</x:v>
      </x:c>
      <x:c r="E62" s="2" t="str">
        <x:v>driver.agus@company.local / driver12345</x:v>
      </x:c>
      <x:c r="F62" s="2" t="str">
        <x:v>Driver hapus barang driver-created sebelum approval/final.</x:v>
      </x:c>
      <x:c r="G62" s="2" t="str">
        <x:v>Prasyarat: DO aktif punya barang driver-created.
1. Buka Kelola SJ &amp; Barang
2. Hapus barang
3. Simpan</x:v>
      </x:c>
      <x:c r="H62" s="2" t="str">
        <x:v>Barang terhapus dari DO/order item sumber driver; item order utama tidak ikut hilang.</x:v>
      </x:c>
      <x:c r="I62" s="2" t="str">
        <x:v>Belum Dites</x:v>
      </x:c>
      <x:c r="J62" s="2" t="str"/>
      <x:c r="K62" s="2" t="str"/>
      <x:c r="L62" s="2" t="str"/>
      <x:c r="M62" s="2" t="str"/>
    </x:row>
    <x:row r="63" ht="114" customHeight="1">
      <x:c r="A63" s="2" t="str">
        <x:v>DRV-009</x:v>
      </x:c>
      <x:c r="B63" s="2" t="str">
        <x:v>Driver Mobile / Portal</x:v>
      </x:c>
      <x:c r="C63" s="2" t="str">
        <x:v>Input Stability</x:v>
      </x:c>
      <x:c r="D63" s="2" t="str">
        <x:v>P0</x:v>
      </x:c>
      <x:c r="E63" s="2" t="str">
        <x:v>driver.agus@company.local / driver12345</x:v>
      </x:c>
      <x:c r="F63" s="2" t="str">
        <x:v>Input angka tidak hilang saat keyboard terbuka.</x:v>
      </x:c>
      <x:c r="G63" s="2" t="str">
        <x:v>Prasyarat: App mobile pada layar kecil.
1. Buka Kelola SJ &amp; Barang
2. Fokus field Koli/Berat/Volume
3. Ketik angka
4. Keyboard tetap terbuka
5. Scroll sedikit</x:v>
      </x:c>
      <x:c r="H63" s="2" t="str">
        <x:v>Halaman tidak hilang, teks angka tetap ada, tombol simpan masih bisa dijangkau.</x:v>
      </x:c>
      <x:c r="I63" s="2" t="str">
        <x:v>Belum Dites</x:v>
      </x:c>
      <x:c r="J63" s="2" t="str"/>
      <x:c r="K63" s="2" t="str"/>
      <x:c r="L63" s="2" t="str"/>
      <x:c r="M63" s="2" t="str"/>
    </x:row>
    <x:row r="64" ht="99.75" customHeight="1">
      <x:c r="A64" s="2" t="str">
        <x:v>DRV-010</x:v>
      </x:c>
      <x:c r="B64" s="2" t="str">
        <x:v>Driver Mobile / Portal</x:v>
      </x:c>
      <x:c r="C64" s="2" t="str">
        <x:v>Tracking Start</x:v>
      </x:c>
      <x:c r="D64" s="2" t="str">
        <x:v>P0</x:v>
      </x:c>
      <x:c r="E64" s="2" t="str">
        <x:v>driver.agus@company.local / driver12345</x:v>
      </x:c>
      <x:c r="F64" s="2" t="str">
        <x:v>Mulai tracking dari mobile.</x:v>
      </x:c>
      <x:c r="G64" s="2" t="str">
        <x:v>Prasyarat: DO CREATED/ON_DELIVERY milik driver.
1. Login mobile
2. Pilih DO
3. Mulai Tracking
4. Izinkan lokasi</x:v>
      </x:c>
      <x:c r="H64" s="2" t="str">
        <x:v>Tracking ACTIVE, status DO naik ke ON_DELIVERY bila dari CREATED, admin melihat last location.</x:v>
      </x:c>
      <x:c r="I64" s="2" t="str">
        <x:v>Belum Dites</x:v>
      </x:c>
      <x:c r="J64" s="2" t="str"/>
      <x:c r="K64" s="2" t="str"/>
      <x:c r="L64" s="2" t="str"/>
      <x:c r="M64" s="2" t="str"/>
    </x:row>
    <x:row r="65" ht="99.75" customHeight="1">
      <x:c r="A65" s="2" t="str">
        <x:v>DRV-011</x:v>
      </x:c>
      <x:c r="B65" s="2" t="str">
        <x:v>Driver Mobile / Portal</x:v>
      </x:c>
      <x:c r="C65" s="2" t="str">
        <x:v>Tracking Resume</x:v>
      </x:c>
      <x:c r="D65" s="2" t="str">
        <x:v>P1</x:v>
      </x:c>
      <x:c r="E65" s="2" t="str">
        <x:v>driver.agus@company.local / driver12345</x:v>
      </x:c>
      <x:c r="F65" s="2" t="str">
        <x:v>Resume tracking setelah app dibuka ulang.</x:v>
      </x:c>
      <x:c r="G65" s="2" t="str">
        <x:v>Prasyarat: Tracking aktif.
1. Tutup app
2. Buka lagi
3. Pilih trip
4. Lanjutkan tracking</x:v>
      </x:c>
      <x:c r="H65" s="2" t="str">
        <x:v>Tracking tetap terkait DO yang sama; tidak membuat lock ganda.</x:v>
      </x:c>
      <x:c r="I65" s="2" t="str">
        <x:v>Belum Dites</x:v>
      </x:c>
      <x:c r="J65" s="2" t="str"/>
      <x:c r="K65" s="2" t="str"/>
      <x:c r="L65" s="2" t="str"/>
      <x:c r="M65" s="2" t="str"/>
    </x:row>
    <x:row r="66" ht="57" customHeight="1">
      <x:c r="A66" s="2" t="str">
        <x:v>DRV-012</x:v>
      </x:c>
      <x:c r="B66" s="2" t="str">
        <x:v>Driver Mobile / Portal</x:v>
      </x:c>
      <x:c r="C66" s="2" t="str">
        <x:v>Logout Lock</x:v>
      </x:c>
      <x:c r="D66" s="2" t="str">
        <x:v>P0</x:v>
      </x:c>
      <x:c r="E66" s="2" t="str">
        <x:v>driver.agus@company.local / driver12345</x:v>
      </x:c>
      <x:c r="F66" s="2" t="str">
        <x:v>Driver tidak bisa logout saat tracking mengunci trip aktif.</x:v>
      </x:c>
      <x:c r="G66" s="2" t="str">
        <x:v>Prasyarat: Tracking ACTIVE pada DO aktif.
1. Klik logout driver</x:v>
      </x:c>
      <x:c r="H66" s="2" t="str">
        <x:v>Logout ditolak sampai admin menutup/cancel DO.</x:v>
      </x:c>
      <x:c r="I66" s="2" t="str">
        <x:v>Belum Dites</x:v>
      </x:c>
      <x:c r="J66" s="2" t="str"/>
      <x:c r="K66" s="2" t="str"/>
      <x:c r="L66" s="2" t="str"/>
      <x:c r="M66" s="2" t="str"/>
    </x:row>
    <x:row r="67" ht="114" customHeight="1">
      <x:c r="A67" s="2" t="str">
        <x:v>DRV-013</x:v>
      </x:c>
      <x:c r="B67" s="2" t="str">
        <x:v>Driver Mobile / Portal</x:v>
      </x:c>
      <x:c r="C67" s="2" t="str">
        <x:v>Completion Request</x:v>
      </x:c>
      <x:c r="D67" s="2" t="str">
        <x:v>P0</x:v>
      </x:c>
      <x:c r="E67" s="2" t="str">
        <x:v>driver.agus@company.local / driver12345</x:v>
      </x:c>
      <x:c r="F67" s="2" t="str">
        <x:v>Driver ajukan selesai dengan aktual final dan drop.</x:v>
      </x:c>
      <x:c r="G67" s="2" t="str">
        <x:v>Prasyarat: DO ARRIVED/ON_DELIVERY punya SJ/barang.
1. Buka trip
2. Ajukan Selesai
3. Pilih SJ batch
4. Isi actual item, drop, POD receiver/date
5. Submit</x:v>
      </x:c>
      <x:c r="H67" s="2" t="str">
        <x:v>Request masuk pending approval admin; DO belum final sebelum admin approve.</x:v>
      </x:c>
      <x:c r="I67" s="2" t="str">
        <x:v>Belum Dites</x:v>
      </x:c>
      <x:c r="J67" s="2" t="str"/>
      <x:c r="K67" s="2" t="str"/>
      <x:c r="L67" s="2" t="str"/>
      <x:c r="M67" s="2" t="str"/>
    </x:row>
    <x:row r="68" ht="85.5" customHeight="1">
      <x:c r="A68" s="2" t="str">
        <x:v>DRV-014</x:v>
      </x:c>
      <x:c r="B68" s="2" t="str">
        <x:v>Driver Mobile / Portal</x:v>
      </x:c>
      <x:c r="C68" s="2" t="str">
        <x:v>Completion Mismatch</x:v>
      </x:c>
      <x:c r="D68" s="2" t="str">
        <x:v>P0</x:v>
      </x:c>
      <x:c r="E68" s="2" t="str">
        <x:v>driver.agus@company.local / driver12345</x:v>
      </x:c>
      <x:c r="F68" s="2" t="str">
        <x:v>Driver tidak bisa submit aktual/drop mismatch.</x:v>
      </x:c>
      <x:c r="G68" s="2" t="str">
        <x:v>Prasyarat: DO punya barang.
1. Isi actual item total A
2. Isi drop total berbeda
3. Submit</x:v>
      </x:c>
      <x:c r="H68" s="2" t="str">
        <x:v>Submit ditolak dengan pesan mismatch, tidak ada pending request invalid.</x:v>
      </x:c>
      <x:c r="I68" s="2" t="str">
        <x:v>Belum Dites</x:v>
      </x:c>
      <x:c r="J68" s="2" t="str"/>
      <x:c r="K68" s="2" t="str"/>
      <x:c r="L68" s="2" t="str"/>
      <x:c r="M68" s="2" t="str"/>
    </x:row>
    <x:row r="69" ht="85.5" customHeight="1">
      <x:c r="A69" s="2" t="str">
        <x:v>DRV-015</x:v>
      </x:c>
      <x:c r="B69" s="2" t="str">
        <x:v>Driver Mobile / Portal</x:v>
      </x:c>
      <x:c r="C69" s="2" t="str">
        <x:v>Trip Closure/Odometer</x:v>
      </x:c>
      <x:c r="D69" s="2" t="str">
        <x:v>P0</x:v>
      </x:c>
      <x:c r="E69" s="2" t="str">
        <x:v>owner@company.local / owner12345; driver.agus@company.local / driver12345</x:v>
      </x:c>
      <x:c r="F69" s="2" t="str">
        <x:v>Driver ajukan tutup trip dengan odometer final, admin approve.</x:v>
      </x:c>
      <x:c r="G69" s="2" t="str">
        <x:v>Prasyarat: DO delivered/siap closure.
1. Driver isi odometer akhir
2. Submit request
3. Admin review dan approve</x:v>
      </x:c>
      <x:c r="H69" s="2" t="str">
        <x:v>Trip closure/odometer tersimpan setelah approval admin; vehicle last odometer sinkron.</x:v>
      </x:c>
      <x:c r="I69" s="2" t="str">
        <x:v>Belum Dites</x:v>
      </x:c>
      <x:c r="J69" s="2" t="str"/>
      <x:c r="K69" s="2" t="str"/>
      <x:c r="L69" s="2" t="str"/>
      <x:c r="M69" s="2" t="str"/>
    </x:row>
    <x:row r="70" ht="99.75" customHeight="1">
      <x:c r="A70" s="2" t="str">
        <x:v>DRV-016</x:v>
      </x:c>
      <x:c r="B70" s="2" t="str">
        <x:v>Driver Mobile / Portal</x:v>
      </x:c>
      <x:c r="C70" s="2" t="str">
        <x:v>Incident Report</x:v>
      </x:c>
      <x:c r="D70" s="2" t="str">
        <x:v>P0</x:v>
      </x:c>
      <x:c r="E70" s="2" t="str">
        <x:v>armada@company.local / admin12345; driver.agus@company.local / driver12345</x:v>
      </x:c>
      <x:c r="F70" s="2" t="str">
        <x:v>Driver lapor insiden dari mobile.</x:v>
      </x:c>
      <x:c r="G70" s="2" t="str">
        <x:v>Prasyarat: Driver punya DO aktif.
1. Buka Insiden
2. Isi jenis, urgency, lokasi, odometer, deskripsi
3. Submit
4. Admin buka fleet incidents</x:v>
      </x:c>
      <x:c r="H70" s="2" t="str">
        <x:v>Incident OPEN/IN_PROGRESS muncul di admin dengan relasi DO dan driver.</x:v>
      </x:c>
      <x:c r="I70" s="2" t="str">
        <x:v>Belum Dites</x:v>
      </x:c>
      <x:c r="J70" s="2" t="str"/>
      <x:c r="K70" s="2" t="str"/>
      <x:c r="L70" s="2" t="str"/>
      <x:c r="M70" s="2" t="str"/>
    </x:row>
    <x:row r="71" ht="85.5" customHeight="1">
      <x:c r="A71" s="2" t="str">
        <x:v>DRV-017</x:v>
      </x:c>
      <x:c r="B71" s="2" t="str">
        <x:v>Driver Mobile / Portal</x:v>
      </x:c>
      <x:c r="C71" s="2" t="str">
        <x:v>Incident Resolution</x:v>
      </x:c>
      <x:c r="D71" s="2" t="str">
        <x:v>P1</x:v>
      </x:c>
      <x:c r="E71" s="2" t="str">
        <x:v>finance@company.local / admin12345; armada@company.local / admin12345; driver.agus@company.local / driver12345</x:v>
      </x:c>
      <x:c r="F71" s="2" t="str">
        <x:v>Driver ajukan penyelesaian insiden dengan biaya.</x:v>
      </x:c>
      <x:c r="G71" s="2" t="str">
        <x:v>Prasyarat: Incident aktif.
1. Driver submit resolution + biaya
2. Admin review
3. Finance cek settlement/expense bila diposting</x:v>
      </x:c>
      <x:c r="H71" s="2" t="str">
        <x:v>Biaya masuk settlement line dengan status benar; posting finance sesuai approval.</x:v>
      </x:c>
      <x:c r="I71" s="2" t="str">
        <x:v>Belum Dites</x:v>
      </x:c>
      <x:c r="J71" s="2" t="str"/>
      <x:c r="K71" s="2" t="str"/>
      <x:c r="L71" s="2" t="str"/>
      <x:c r="M71" s="2" t="str"/>
    </x:row>
    <x:row r="72" ht="85.5" customHeight="1">
      <x:c r="A72" s="2" t="str">
        <x:v>APP-001</x:v>
      </x:c>
      <x:c r="B72" s="2" t="str">
        <x:v>Approval Admin</x:v>
      </x:c>
      <x:c r="C72" s="2" t="str">
        <x:v>Review Driver Completion</x:v>
      </x:c>
      <x:c r="D72" s="2" t="str">
        <x:v>P0</x:v>
      </x:c>
      <x:c r="E72" s="2" t="str">
        <x:v>owner@company.local / owner12345; admin@company.local / admin12345</x:v>
      </x:c>
      <x:c r="F72" s="2" t="str">
        <x:v>Admin approve request selesai dari driver.</x:v>
      </x:c>
      <x:c r="G72" s="2" t="str">
        <x:v>Prasyarat: Ada pending driver completion request.
1. Buka detail DO
2. Review aktual/drop/POD
3. Approve</x:v>
      </x:c>
      <x:c r="H72" s="2" t="str">
        <x:v>DO menjadi DELIVERED, actual final tersimpan, resource/tracking selesai.</x:v>
      </x:c>
      <x:c r="I72" s="2" t="str">
        <x:v>Belum Dites</x:v>
      </x:c>
      <x:c r="J72" s="2" t="str"/>
      <x:c r="K72" s="2" t="str"/>
      <x:c r="L72" s="2" t="str"/>
      <x:c r="M72" s="2" t="str"/>
    </x:row>
    <x:row r="73" ht="71.25" customHeight="1">
      <x:c r="A73" s="2" t="str">
        <x:v>APP-002</x:v>
      </x:c>
      <x:c r="B73" s="2" t="str">
        <x:v>Approval Admin</x:v>
      </x:c>
      <x:c r="C73" s="2" t="str">
        <x:v>Reject Driver Completion</x:v>
      </x:c>
      <x:c r="D73" s="2" t="str">
        <x:v>P0</x:v>
      </x:c>
      <x:c r="E73" s="2" t="str">
        <x:v>owner@company.local / owner12345; admin@company.local / admin12345</x:v>
      </x:c>
      <x:c r="F73" s="2" t="str">
        <x:v>Admin reject request selesai yang salah.</x:v>
      </x:c>
      <x:c r="G73" s="2" t="str">
        <x:v>Prasyarat: Ada pending completion request.
1. Buka detail DO
2. Reject dengan alasan</x:v>
      </x:c>
      <x:c r="H73" s="2" t="str">
        <x:v>Pending request hilang/ditandai rejected, DO tetap status sebelumnya, driver bisa koreksi submit ulang.</x:v>
      </x:c>
      <x:c r="I73" s="2" t="str">
        <x:v>Belum Dites</x:v>
      </x:c>
      <x:c r="J73" s="2" t="str"/>
      <x:c r="K73" s="2" t="str"/>
      <x:c r="L73" s="2" t="str"/>
      <x:c r="M73" s="2" t="str"/>
    </x:row>
    <x:row r="74" ht="85.5" customHeight="1">
      <x:c r="A74" s="2" t="str">
        <x:v>APP-003</x:v>
      </x:c>
      <x:c r="B74" s="2" t="str">
        <x:v>Approval Admin</x:v>
      </x:c>
      <x:c r="C74" s="2" t="str">
        <x:v>Pending Lock</x:v>
      </x:c>
      <x:c r="D74" s="2" t="str">
        <x:v>P0</x:v>
      </x:c>
      <x:c r="E74" s="2" t="str">
        <x:v>owner@company.local / owner12345; admin@company.local / admin12345; driver.agus@company.local / driver12345</x:v>
      </x:c>
      <x:c r="F74" s="2" t="str">
        <x:v>Data operasional dikunci selama pending approval.</x:v>
      </x:c>
      <x:c r="G74" s="2" t="str">
        <x:v>Prasyarat: Ada pending request.
1. Saat pending, coba edit SJ/barang/status final dari mobile/admin lain</x:v>
      </x:c>
      <x:c r="H74" s="2" t="str">
        <x:v>Mutasi konflik ditolak sampai approval diputuskan.</x:v>
      </x:c>
      <x:c r="I74" s="2" t="str">
        <x:v>Belum Dites</x:v>
      </x:c>
      <x:c r="J74" s="2" t="str"/>
      <x:c r="K74" s="2" t="str"/>
      <x:c r="L74" s="2" t="str"/>
      <x:c r="M74" s="2" t="str"/>
    </x:row>
    <x:row r="75" ht="114" customHeight="1">
      <x:c r="A75" s="2" t="str">
        <x:v>INV-001</x:v>
      </x:c>
      <x:c r="B75" s="2" t="str">
        <x:v>Invoice / Nota Ongkos</x:v>
      </x:c>
      <x:c r="C75" s="2" t="str">
        <x:v>Create Nota</x:v>
      </x:c>
      <x:c r="D75" s="2" t="str">
        <x:v>P0</x:v>
      </x:c>
      <x:c r="E75" s="2" t="str">
        <x:v>owner@company.local / owner12345; finance@company.local / admin12345</x:v>
      </x:c>
      <x:c r="F75" s="2" t="str">
        <x:v>Buat nota dari DO delivered billable.</x:v>
      </x:c>
      <x:c r="G75" s="2" t="str">
        <x:v>Prasyarat: DO DELIVERED dengan SJ billable.
1. Buka Invoice
2. Klik Baru
3. Pilih customer/DO/SJ
4. Generate baris
5. Simpan</x:v>
      </x:c>
      <x:c r="H75" s="2" t="str">
        <x:v>NOTA dibuat UNPAID, item nota per DO/SJ/barang benar, nilai memakai aktual final.</x:v>
      </x:c>
      <x:c r="I75" s="2" t="str">
        <x:v>Belum Dites</x:v>
      </x:c>
      <x:c r="J75" s="2" t="str"/>
      <x:c r="K75" s="2" t="str"/>
      <x:c r="L75" s="2" t="str"/>
      <x:c r="M75" s="2" t="str"/>
    </x:row>
    <x:row r="76" ht="71.25" customHeight="1">
      <x:c r="A76" s="2" t="str">
        <x:v>INV-002</x:v>
      </x:c>
      <x:c r="B76" s="2" t="str">
        <x:v>Invoice / Nota Ongkos</x:v>
      </x:c>
      <x:c r="C76" s="2" t="str">
        <x:v>Hold Guard</x:v>
      </x:c>
      <x:c r="D76" s="2" t="str">
        <x:v>P0</x:v>
      </x:c>
      <x:c r="E76" s="2" t="str">
        <x:v>owner@company.local / owner12345; finance@company.local / admin12345</x:v>
      </x:c>
      <x:c r="F76" s="2" t="str">
        <x:v>DO hold-only tidak boleh ditagihkan.</x:v>
      </x:c>
      <x:c r="G76" s="2" t="str">
        <x:v>Prasyarat: DO DELIVERED/PARTIAL_HOLD tanpa billable cargo.
1. Buat nota
2. Pilih DO hold-only</x:v>
      </x:c>
      <x:c r="H76" s="2" t="str">
        <x:v>DO tidak eligible atau submit ditolak.</x:v>
      </x:c>
      <x:c r="I76" s="2" t="str">
        <x:v>Belum Dites</x:v>
      </x:c>
      <x:c r="J76" s="2" t="str"/>
      <x:c r="K76" s="2" t="str"/>
      <x:c r="L76" s="2" t="str"/>
      <x:c r="M76" s="2" t="str"/>
    </x:row>
    <x:row r="77" ht="71.25" customHeight="1">
      <x:c r="A77" s="2" t="str">
        <x:v>INV-003</x:v>
      </x:c>
      <x:c r="B77" s="2" t="str">
        <x:v>Invoice / Nota Ongkos</x:v>
      </x:c>
      <x:c r="C77" s="2" t="str">
        <x:v>Mixed SJ Billing</x:v>
      </x:c>
      <x:c r="D77" s="2" t="str">
        <x:v>P0</x:v>
      </x:c>
      <x:c r="E77" s="2" t="str">
        <x:v>owner@company.local / owner12345; finance@company.local / admin12345</x:v>
      </x:c>
      <x:c r="F77" s="2" t="str">
        <x:v>DO campuran billable dan hold hanya menagih bagian billable.</x:v>
      </x:c>
      <x:c r="G77" s="2" t="str">
        <x:v>Prasyarat: DO punya drop billable dan hold.
1. Buat nota dari DO campuran
2. Pilih SJ billable</x:v>
      </x:c>
      <x:c r="H77" s="2" t="str">
        <x:v>Nota hanya berisi cargo billable; hold tidak masuk tagihan.</x:v>
      </x:c>
      <x:c r="I77" s="2" t="str">
        <x:v>Belum Dites</x:v>
      </x:c>
      <x:c r="J77" s="2" t="str"/>
      <x:c r="K77" s="2" t="str"/>
      <x:c r="L77" s="2" t="str"/>
      <x:c r="M77" s="2" t="str"/>
    </x:row>
    <x:row r="78" ht="85.5" customHeight="1">
      <x:c r="A78" s="2" t="str">
        <x:v>INV-004</x:v>
      </x:c>
      <x:c r="B78" s="2" t="str">
        <x:v>Invoice / Nota Ongkos</x:v>
      </x:c>
      <x:c r="C78" s="2" t="str">
        <x:v>Adjustment</x:v>
      </x:c>
      <x:c r="D78" s="2" t="str">
        <x:v>P0</x:v>
      </x:c>
      <x:c r="E78" s="2" t="str">
        <x:v>owner@company.local / owner12345; finance@company.local / admin12345</x:v>
      </x:c>
      <x:c r="F78" s="2" t="str">
        <x:v>Tambah klaim/potongan nota.</x:v>
      </x:c>
      <x:c r="G78" s="2" t="str">
        <x:v>Prasyarat: Nota UNPAID/PARTIAL.
1. Buka detail nota
2. Tambah adjustment DAMAGE/PENALTY/DISCOUNT
3. Simpan</x:v>
      </x:c>
      <x:c r="H78" s="2" t="str">
        <x:v>Net amount berkurang, gross tetap, status bayar dihitung ulang dari net.</x:v>
      </x:c>
      <x:c r="I78" s="2" t="str">
        <x:v>Belum Dites</x:v>
      </x:c>
      <x:c r="J78" s="2" t="str"/>
      <x:c r="K78" s="2" t="str"/>
      <x:c r="L78" s="2" t="str"/>
      <x:c r="M78" s="2" t="str"/>
    </x:row>
    <x:row r="79" ht="85.5" customHeight="1">
      <x:c r="A79" s="2" t="str">
        <x:v>INV-005</x:v>
      </x:c>
      <x:c r="B79" s="2" t="str">
        <x:v>Invoice / Nota Ongkos</x:v>
      </x:c>
      <x:c r="C79" s="2" t="str">
        <x:v>Void Adjustment</x:v>
      </x:c>
      <x:c r="D79" s="2" t="str">
        <x:v>P1</x:v>
      </x:c>
      <x:c r="E79" s="2" t="str">
        <x:v>owner@company.local / owner12345; finance@company.local / admin12345</x:v>
      </x:c>
      <x:c r="F79" s="2" t="str">
        <x:v>Void klaim/potongan nota.</x:v>
      </x:c>
      <x:c r="G79" s="2" t="str">
        <x:v>Prasyarat: Nota punya adjustment aktif.
1. Buka detail nota
2. Void adjustment
3. Konfirmasi</x:v>
      </x:c>
      <x:c r="H79" s="2" t="str">
        <x:v>Net amount kembali sesuai adjustment aktif; audit tercatat.</x:v>
      </x:c>
      <x:c r="I79" s="2" t="str">
        <x:v>Belum Dites</x:v>
      </x:c>
      <x:c r="J79" s="2" t="str"/>
      <x:c r="K79" s="2" t="str"/>
      <x:c r="L79" s="2" t="str"/>
      <x:c r="M79" s="2" t="str"/>
    </x:row>
    <x:row r="80" ht="99.75" customHeight="1">
      <x:c r="A80" s="2" t="str">
        <x:v>INV-006</x:v>
      </x:c>
      <x:c r="B80" s="2" t="str">
        <x:v>Invoice / Nota Ongkos</x:v>
      </x:c>
      <x:c r="C80" s="2" t="str">
        <x:v>Payment Single Nota</x:v>
      </x:c>
      <x:c r="D80" s="2" t="str">
        <x:v>P0</x:v>
      </x:c>
      <x:c r="E80" s="2" t="str">
        <x:v>owner@company.local / owner12345; finance@company.local / admin12345</x:v>
      </x:c>
      <x:c r="F80" s="2" t="str">
        <x:v>Catat pembayaran satu nota.</x:v>
      </x:c>
      <x:c r="G80" s="2" t="str">
        <x:v>Prasyarat: Nota UNPAID.
1. Buka detail nota
2. Tambah pembayaran
3. Pilih metode CASH/TRANSFER
4. Simpan</x:v>
      </x:c>
      <x:c r="H80" s="2" t="str">
        <x:v>Payment, income, bankTransaction/kas tercatat; status nota PARTIAL/PAID sesuai nominal.</x:v>
      </x:c>
      <x:c r="I80" s="2" t="str">
        <x:v>Belum Dites</x:v>
      </x:c>
      <x:c r="J80" s="2" t="str"/>
      <x:c r="K80" s="2" t="str"/>
      <x:c r="L80" s="2" t="str"/>
      <x:c r="M80" s="2" t="str"/>
    </x:row>
    <x:row r="81" ht="114" customHeight="1">
      <x:c r="A81" s="2" t="str">
        <x:v>INV-007</x:v>
      </x:c>
      <x:c r="B81" s="2" t="str">
        <x:v>Invoice / Nota Ongkos</x:v>
      </x:c>
      <x:c r="C81" s="2" t="str">
        <x:v>Multi Nota Receipt</x:v>
      </x:c>
      <x:c r="D81" s="2" t="str">
        <x:v>P0</x:v>
      </x:c>
      <x:c r="E81" s="2" t="str">
        <x:v>owner@company.local / owner12345; finance@company.local / admin12345</x:v>
      </x:c>
      <x:c r="F81" s="2" t="str">
        <x:v>Satu penerimaan customer dialokasikan ke beberapa nota.</x:v>
      </x:c>
      <x:c r="G81" s="2" t="str">
        <x:v>Prasyarat: Customer punya beberapa nota terbuka.
1. Buka daftar invoice
2. Catat Penerimaan
3. Pilih customer
4. Alokasikan ke beberapa nota
5. Simpan</x:v>
      </x:c>
      <x:c r="H81" s="2" t="str">
        <x:v>Satu customerReceipt, income, bankTransaction, beberapa payment allocation; status tiap nota sinkron.</x:v>
      </x:c>
      <x:c r="I81" s="2" t="str">
        <x:v>Belum Dites</x:v>
      </x:c>
      <x:c r="J81" s="2" t="str"/>
      <x:c r="K81" s="2" t="str"/>
      <x:c r="L81" s="2" t="str"/>
      <x:c r="M81" s="2" t="str"/>
    </x:row>
    <x:row r="82" ht="85.5" customHeight="1">
      <x:c r="A82" s="2" t="str">
        <x:v>INV-008</x:v>
      </x:c>
      <x:c r="B82" s="2" t="str">
        <x:v>Invoice / Nota Ongkos</x:v>
      </x:c>
      <x:c r="C82" s="2" t="str">
        <x:v>Allocation Guard</x:v>
      </x:c>
      <x:c r="D82" s="2" t="str">
        <x:v>P0</x:v>
      </x:c>
      <x:c r="E82" s="2" t="str">
        <x:v>owner@company.local / owner12345; finance@company.local / admin12345</x:v>
      </x:c>
      <x:c r="F82" s="2" t="str">
        <x:v>Alokasi receipt tidak boleh melebihi total receipt atau sisa nota.</x:v>
      </x:c>
      <x:c r="G82" s="2" t="str">
        <x:v>Prasyarat: Nota terbuka.
1. Isi nominal receipt
2. Alokasi lebih besar dari receipt/sisa nota
3. Submit</x:v>
      </x:c>
      <x:c r="H82" s="2" t="str">
        <x:v>Submit ditolak; tidak ada partial write.</x:v>
      </x:c>
      <x:c r="I82" s="2" t="str">
        <x:v>Belum Dites</x:v>
      </x:c>
      <x:c r="J82" s="2" t="str"/>
      <x:c r="K82" s="2" t="str"/>
      <x:c r="L82" s="2" t="str"/>
      <x:c r="M82" s="2" t="str"/>
    </x:row>
    <x:row r="83" ht="71.25" customHeight="1">
      <x:c r="A83" s="2" t="str">
        <x:v>INV-009</x:v>
      </x:c>
      <x:c r="B83" s="2" t="str">
        <x:v>Invoice / Nota Ongkos</x:v>
      </x:c>
      <x:c r="C83" s="2" t="str">
        <x:v>Customer Overpayment</x:v>
      </x:c>
      <x:c r="D83" s="2" t="str">
        <x:v>P1</x:v>
      </x:c>
      <x:c r="E83" s="2" t="str">
        <x:v>owner@company.local / owner12345; finance@company.local / admin12345</x:v>
      </x:c>
      <x:c r="F83" s="2" t="str">
        <x:v>Bayar lebih menjadi kredit customer.</x:v>
      </x:c>
      <x:c r="G83" s="2" t="str">
        <x:v>Prasyarat: Nota customer tersedia.
1. Catat penerimaan &gt; sisa tagihan
2. Simpan</x:v>
      </x:c>
      <x:c r="H83" s="2" t="str">
        <x:v>Overpayment/kredit customer terbentuk dan bisa dilacak.</x:v>
      </x:c>
      <x:c r="I83" s="2" t="str">
        <x:v>Belum Dites</x:v>
      </x:c>
      <x:c r="J83" s="2" t="str"/>
      <x:c r="K83" s="2" t="str"/>
      <x:c r="L83" s="2" t="str"/>
      <x:c r="M83" s="2" t="str"/>
    </x:row>
    <x:row r="84" ht="85.5" customHeight="1">
      <x:c r="A84" s="2" t="str">
        <x:v>INV-010</x:v>
      </x:c>
      <x:c r="B84" s="2" t="str">
        <x:v>Invoice / Nota Ongkos</x:v>
      </x:c>
      <x:c r="C84" s="2" t="str">
        <x:v>Print Nota</x:v>
      </x:c>
      <x:c r="D84" s="2" t="str">
        <x:v>P1</x:v>
      </x:c>
      <x:c r="E84" s="2" t="str">
        <x:v>owner@company.local / owner12345; admin@company.local / admin12345; finance@company.local / admin12345</x:v>
      </x:c>
      <x:c r="F84" s="2" t="str">
        <x:v>Print nota menampilkan data benar.</x:v>
      </x:c>
      <x:c r="G84" s="2" t="str">
        <x:v>Prasyarat: Nota sudah dibuat.
1. Buka detail nota
2. Print/PDF</x:v>
      </x:c>
      <x:c r="H84" s="2" t="str">
        <x:v>Nomor nota, customer, DO/SJ, item, total/net/payment tampil benar.</x:v>
      </x:c>
      <x:c r="I84" s="2" t="str">
        <x:v>Belum Dites</x:v>
      </x:c>
      <x:c r="J84" s="2" t="str"/>
      <x:c r="K84" s="2" t="str"/>
      <x:c r="L84" s="2" t="str"/>
      <x:c r="M84" s="2" t="str"/>
    </x:row>
    <x:row r="85" ht="99.75" customHeight="1">
      <x:c r="A85" s="2" t="str">
        <x:v>CASH-001</x:v>
      </x:c>
      <x:c r="B85" s="2" t="str">
        <x:v>Rekening &amp; Kas</x:v>
      </x:c>
      <x:c r="C85" s="2" t="str">
        <x:v>Bank Account</x:v>
      </x:c>
      <x:c r="D85" s="2" t="str">
        <x:v>P0</x:v>
      </x:c>
      <x:c r="E85" s="2" t="str">
        <x:v>owner@company.local / owner12345; finance@company.local / admin12345</x:v>
      </x:c>
      <x:c r="F85" s="2" t="str">
        <x:v>Tambah rekening bank/kas.</x:v>
      </x:c>
      <x:c r="G85" s="2" t="str">
        <x:v>Prasyarat: Login finance/owner.
1. Buka Rekening &amp; Kas
2. Tambah rekening
3. Isi saldo awal
4. Simpan</x:v>
      </x:c>
      <x:c r="H85" s="2" t="str">
        <x:v>Rekening aktif muncul dan bisa dipilih pada transaksi.</x:v>
      </x:c>
      <x:c r="I85" s="2" t="str">
        <x:v>Belum Dites</x:v>
      </x:c>
      <x:c r="J85" s="2" t="str"/>
      <x:c r="K85" s="2" t="str"/>
      <x:c r="L85" s="2" t="str"/>
      <x:c r="M85" s="2" t="str"/>
    </x:row>
    <x:row r="86" ht="99.75" customHeight="1">
      <x:c r="A86" s="2" t="str">
        <x:v>CASH-002</x:v>
      </x:c>
      <x:c r="B86" s="2" t="str">
        <x:v>Rekening &amp; Kas</x:v>
      </x:c>
      <x:c r="C86" s="2" t="str">
        <x:v>Cash Default</x:v>
      </x:c>
      <x:c r="D86" s="2" t="str">
        <x:v>P0</x:v>
      </x:c>
      <x:c r="E86" s="2" t="str">
        <x:v>owner@company.local / owner12345; finance@company.local / admin12345</x:v>
      </x:c>
      <x:c r="F86" s="2" t="str">
        <x:v>Pembayaran CASH tanpa rekening otomatis ke Kas Tunai.</x:v>
      </x:c>
      <x:c r="G86" s="2" t="str">
        <x:v>Prasyarat: Nota UNPAID.
1. Catat pembayaran CASH
2. Kosongkan rekening bila UI mengizinkan
3. Simpan
4. Buka rekening Kas Tunai</x:v>
      </x:c>
      <x:c r="H86" s="2" t="str">
        <x:v>Payment/income tercatat dan bankTransaction CREDIT ke Kas Tunai terbentuk.</x:v>
      </x:c>
      <x:c r="I86" s="2" t="str">
        <x:v>Belum Dites</x:v>
      </x:c>
      <x:c r="J86" s="2" t="str"/>
      <x:c r="K86" s="2" t="str"/>
      <x:c r="L86" s="2" t="str"/>
      <x:c r="M86" s="2" t="str"/>
    </x:row>
    <x:row r="87" ht="99.75" customHeight="1">
      <x:c r="A87" s="2" t="str">
        <x:v>CASH-003</x:v>
      </x:c>
      <x:c r="B87" s="2" t="str">
        <x:v>Rekening &amp; Kas</x:v>
      </x:c>
      <x:c r="C87" s="2" t="str">
        <x:v>Transfer</x:v>
      </x:c>
      <x:c r="D87" s="2" t="str">
        <x:v>P1</x:v>
      </x:c>
      <x:c r="E87" s="2" t="str">
        <x:v>owner@company.local / owner12345; finance@company.local / admin12345</x:v>
      </x:c>
      <x:c r="F87" s="2" t="str">
        <x:v>Transfer antar rekening.</x:v>
      </x:c>
      <x:c r="G87" s="2" t="str">
        <x:v>Prasyarat: Minimal dua rekening aktif.
1. Buka Rekening &amp; Kas
2. Buat transfer
3. Isi sumber, tujuan, nominal
4. Simpan</x:v>
      </x:c>
      <x:c r="H87" s="2" t="str">
        <x:v>BankTransaction debit/credit sesuai; saldo kedua rekening berubah.</x:v>
      </x:c>
      <x:c r="I87" s="2" t="str">
        <x:v>Belum Dites</x:v>
      </x:c>
      <x:c r="J87" s="2" t="str"/>
      <x:c r="K87" s="2" t="str"/>
      <x:c r="L87" s="2" t="str"/>
      <x:c r="M87" s="2" t="str"/>
    </x:row>
    <x:row r="88" ht="85.5" customHeight="1">
      <x:c r="A88" s="2" t="str">
        <x:v>CASH-004</x:v>
      </x:c>
      <x:c r="B88" s="2" t="str">
        <x:v>Rekening &amp; Kas</x:v>
      </x:c>
      <x:c r="C88" s="2" t="str">
        <x:v>Mutation Trace</x:v>
      </x:c>
      <x:c r="D88" s="2" t="str">
        <x:v>P1</x:v>
      </x:c>
      <x:c r="E88" s="2" t="str">
        <x:v>owner@company.local / owner12345; finance@company.local / admin12345</x:v>
      </x:c>
      <x:c r="F88" s="2" t="str">
        <x:v>Mutasi rekening dari berbagai modul terlihat konsisten.</x:v>
      </x:c>
      <x:c r="G88" s="2" t="str">
        <x:v>Prasyarat: Ada transaksi nota, expense, voucher.
1. Buka detail rekening
2. Filter periode
3. Bandingkan dengan dokumen sumber</x:v>
      </x:c>
      <x:c r="H88" s="2" t="str">
        <x:v>Mutasi punya referensi dokumen, nominal, tanggal, debit/credit benar.</x:v>
      </x:c>
      <x:c r="I88" s="2" t="str">
        <x:v>Belum Dites</x:v>
      </x:c>
      <x:c r="J88" s="2" t="str"/>
      <x:c r="K88" s="2" t="str"/>
      <x:c r="L88" s="2" t="str"/>
      <x:c r="M88" s="2" t="str"/>
    </x:row>
    <x:row r="89" ht="114" customHeight="1">
      <x:c r="A89" s="2" t="str">
        <x:v>VCH-001</x:v>
      </x:c>
      <x:c r="B89" s="2" t="str">
        <x:v>Uang Jalan Trip</x:v>
      </x:c>
      <x:c r="C89" s="2" t="str">
        <x:v>Issue Voucher</x:v>
      </x:c>
      <x:c r="D89" s="2" t="str">
        <x:v>P0</x:v>
      </x:c>
      <x:c r="E89" s="2" t="str">
        <x:v>owner@company.local / owner12345; admin@company.local / admin12345</x:v>
      </x:c>
      <x:c r="F89" s="2" t="str">
        <x:v>Terbit uang jalan trip dari DO.</x:v>
      </x:c>
      <x:c r="G89" s="2" t="str">
        <x:v>Prasyarat: DO aktif eligible, rekening tersedia.
1. Buka Uang Jalan Trip
2. Klik Baru
3. Pilih DO
4. Isi uang awal dan rekening
5. Simpan</x:v>
      </x:c>
      <x:c r="H89" s="2" t="str">
        <x:v>Voucher ISSUED, driver/vehicle/route/upah dari DO, bankTransaction DEBIT, saldo berkurang.</x:v>
      </x:c>
      <x:c r="I89" s="2" t="str">
        <x:v>Belum Dites</x:v>
      </x:c>
      <x:c r="J89" s="2" t="str"/>
      <x:c r="K89" s="2" t="str"/>
      <x:c r="L89" s="2" t="str"/>
      <x:c r="M89" s="2" t="str"/>
    </x:row>
    <x:row r="90" ht="99.75" customHeight="1">
      <x:c r="A90" s="2" t="str">
        <x:v>VCH-002</x:v>
      </x:c>
      <x:c r="B90" s="2" t="str">
        <x:v>Uang Jalan Trip</x:v>
      </x:c>
      <x:c r="C90" s="2" t="str">
        <x:v>Top Up</x:v>
      </x:c>
      <x:c r="D90" s="2" t="str">
        <x:v>P0</x:v>
      </x:c>
      <x:c r="E90" s="2" t="str">
        <x:v>owner@company.local / owner12345; admin@company.local / admin12345</x:v>
      </x:c>
      <x:c r="F90" s="2" t="str">
        <x:v>Tambah top up uang jalan.</x:v>
      </x:c>
      <x:c r="G90" s="2" t="str">
        <x:v>Prasyarat: Voucher ISSUED.
1. Buka detail voucher
2. Tambah pencairan/top up
3. Pilih rekening
4. Simpan</x:v>
      </x:c>
      <x:c r="H90" s="2" t="str">
        <x:v>Disbursement aktif, total issued/balance berubah, bankTransaction DEBIT terbentuk.</x:v>
      </x:c>
      <x:c r="I90" s="2" t="str">
        <x:v>Belum Dites</x:v>
      </x:c>
      <x:c r="J90" s="2" t="str"/>
      <x:c r="K90" s="2" t="str"/>
      <x:c r="L90" s="2" t="str"/>
      <x:c r="M90" s="2" t="str"/>
    </x:row>
    <x:row r="91" ht="85.5" customHeight="1">
      <x:c r="A91" s="2" t="str">
        <x:v>VCH-003</x:v>
      </x:c>
      <x:c r="B91" s="2" t="str">
        <x:v>Uang Jalan Trip</x:v>
      </x:c>
      <x:c r="C91" s="2" t="str">
        <x:v>Trip Expenses</x:v>
      </x:c>
      <x:c r="D91" s="2" t="str">
        <x:v>P0</x:v>
      </x:c>
      <x:c r="E91" s="2" t="str">
        <x:v>owner@company.local / owner12345; admin@company.local / admin12345</x:v>
      </x:c>
      <x:c r="F91" s="2" t="str">
        <x:v>Tambah biaya perjalanan aktual.</x:v>
      </x:c>
      <x:c r="G91" s="2" t="str">
        <x:v>Prasyarat: Voucher ISSUED.
1. Buka detail voucher
2. Tambah item BBM/tol/parkir
3. Simpan</x:v>
      </x:c>
      <x:c r="H91" s="2" t="str">
        <x:v>Item tersimpan, total spent/claim/balance dihitung benar.</x:v>
      </x:c>
      <x:c r="I91" s="2" t="str">
        <x:v>Belum Dites</x:v>
      </x:c>
      <x:c r="J91" s="2" t="str"/>
      <x:c r="K91" s="2" t="str"/>
      <x:c r="L91" s="2" t="str"/>
      <x:c r="M91" s="2" t="str"/>
    </x:row>
    <x:row r="92" ht="99.75" customHeight="1">
      <x:c r="A92" s="2" t="str">
        <x:v>VCH-004</x:v>
      </x:c>
      <x:c r="B92" s="2" t="str">
        <x:v>Uang Jalan Trip</x:v>
      </x:c>
      <x:c r="C92" s="2" t="str">
        <x:v>Settlement Return</x:v>
      </x:c>
      <x:c r="D92" s="2" t="str">
        <x:v>P0</x:v>
      </x:c>
      <x:c r="E92" s="2" t="str">
        <x:v>owner@company.local / owner12345; admin@company.local / admin12345; finance@company.local / admin12345</x:v>
      </x:c>
      <x:c r="F92" s="2" t="str">
        <x:v>Settlement dengan sisa uang kembali.</x:v>
      </x:c>
      <x:c r="G92" s="2" t="str">
        <x:v>Prasyarat: Voucher punya sisa.
1. Buka detail voucher
2. Settle
3. Pilih rekening terima kembali
4. Simpan</x:v>
      </x:c>
      <x:c r="H92" s="2" t="str">
        <x:v>Expense biaya dan upah diposting, bankTransaction CREDIT untuk sisa, status SETTLED.</x:v>
      </x:c>
      <x:c r="I92" s="2" t="str">
        <x:v>Belum Dites</x:v>
      </x:c>
      <x:c r="J92" s="2" t="str"/>
      <x:c r="K92" s="2" t="str"/>
      <x:c r="L92" s="2" t="str"/>
      <x:c r="M92" s="2" t="str"/>
    </x:row>
    <x:row r="93" ht="85.5" customHeight="1">
      <x:c r="A93" s="2" t="str">
        <x:v>VCH-005</x:v>
      </x:c>
      <x:c r="B93" s="2" t="str">
        <x:v>Uang Jalan Trip</x:v>
      </x:c>
      <x:c r="C93" s="2" t="str">
        <x:v>Settlement Extra Pay</x:v>
      </x:c>
      <x:c r="D93" s="2" t="str">
        <x:v>P0</x:v>
      </x:c>
      <x:c r="E93" s="2" t="str">
        <x:v>owner@company.local / owner12345; admin@company.local / admin12345; finance@company.local / admin12345</x:v>
      </x:c>
      <x:c r="F93" s="2" t="str">
        <x:v>Settlement dengan kekurangan bayar ke supir.</x:v>
      </x:c>
      <x:c r="G93" s="2" t="str">
        <x:v>Prasyarat: Voucher total biaya+upah &gt; uang issued.
1. Settle voucher
2. Pilih rekening bayar tambahan
3. Simpan</x:v>
      </x:c>
      <x:c r="H93" s="2" t="str">
        <x:v>Expense diposting, bankTransaction DEBIT tambahan, status SETTLED.</x:v>
      </x:c>
      <x:c r="I93" s="2" t="str">
        <x:v>Belum Dites</x:v>
      </x:c>
      <x:c r="J93" s="2" t="str"/>
      <x:c r="K93" s="2" t="str"/>
      <x:c r="L93" s="2" t="str"/>
      <x:c r="M93" s="2" t="str"/>
    </x:row>
    <x:row r="94" ht="71.25" customHeight="1">
      <x:c r="A94" s="2" t="str">
        <x:v>VCH-006</x:v>
      </x:c>
      <x:c r="B94" s="2" t="str">
        <x:v>Uang Jalan Trip</x:v>
      </x:c>
      <x:c r="C94" s="2" t="str">
        <x:v>Duplicate Guard</x:v>
      </x:c>
      <x:c r="D94" s="2" t="str">
        <x:v>P0</x:v>
      </x:c>
      <x:c r="E94" s="2" t="str">
        <x:v>owner@company.local / owner12345; admin@company.local / admin12345</x:v>
      </x:c>
      <x:c r="F94" s="2" t="str">
        <x:v>DO yang sudah punya voucher tidak boleh masuk borongan/double voucher.</x:v>
      </x:c>
      <x:c r="G94" s="2" t="str">
        <x:v>Prasyarat: DO sudah punya voucher.
1. Buat voucher lagi atau slip borongan dari DO sama</x:v>
      </x:c>
      <x:c r="H94" s="2" t="str">
        <x:v>Submit ditolak; tidak ada double settlement driver.</x:v>
      </x:c>
      <x:c r="I94" s="2" t="str">
        <x:v>Belum Dites</x:v>
      </x:c>
      <x:c r="J94" s="2" t="str"/>
      <x:c r="K94" s="2" t="str"/>
      <x:c r="L94" s="2" t="str"/>
      <x:c r="M94" s="2" t="str"/>
    </x:row>
    <x:row r="95" ht="99.75" customHeight="1">
      <x:c r="A95" s="2" t="str">
        <x:v>BOR-001</x:v>
      </x:c>
      <x:c r="B95" s="2" t="str">
        <x:v>Borongan</x:v>
      </x:c>
      <x:c r="C95" s="2" t="str">
        <x:v>Create Slip</x:v>
      </x:c>
      <x:c r="D95" s="2" t="str">
        <x:v>P1</x:v>
      </x:c>
      <x:c r="E95" s="2" t="str">
        <x:v>owner@company.local / owner12345</x:v>
      </x:c>
      <x:c r="F95" s="2" t="str">
        <x:v>Buat slip borongan dari DO eligible.</x:v>
      </x:c>
      <x:c r="G95" s="2" t="str">
        <x:v>Prasyarat: DO delivered eligible tanpa voucher.
1. Buka Borongan
2. Klik Baru
3. Pilih DO
4. Simpan</x:v>
      </x:c>
      <x:c r="H95" s="2" t="str">
        <x:v>Slip UNPAID terbentuk dengan item DO dan upah sesuai tarip borongan.</x:v>
      </x:c>
      <x:c r="I95" s="2" t="str">
        <x:v>Belum Dites</x:v>
      </x:c>
      <x:c r="J95" s="2" t="str"/>
      <x:c r="K95" s="2" t="str"/>
      <x:c r="L95" s="2" t="str"/>
      <x:c r="M95" s="2" t="str"/>
    </x:row>
    <x:row r="96" ht="99.75" customHeight="1">
      <x:c r="A96" s="2" t="str">
        <x:v>BOR-002</x:v>
      </x:c>
      <x:c r="B96" s="2" t="str">
        <x:v>Borongan</x:v>
      </x:c>
      <x:c r="C96" s="2" t="str">
        <x:v>Payment</x:v>
      </x:c>
      <x:c r="D96" s="2" t="str">
        <x:v>P1</x:v>
      </x:c>
      <x:c r="E96" s="2" t="str">
        <x:v>owner@company.local / owner12345</x:v>
      </x:c>
      <x:c r="F96" s="2" t="str">
        <x:v>Bayar borongan cash/transfer.</x:v>
      </x:c>
      <x:c r="G96" s="2" t="str">
        <x:v>Prasyarat: Slip UNPAID.
1. Buka detail borongan
2. Klik Bayar
3. Pilih metode/rekening
4. Simpan</x:v>
      </x:c>
      <x:c r="H96" s="2" t="str">
        <x:v>Status PAID, expense Borongan Supir dibuat, bank/kas bergerak sesuai metode.</x:v>
      </x:c>
      <x:c r="I96" s="2" t="str">
        <x:v>Belum Dites</x:v>
      </x:c>
      <x:c r="J96" s="2" t="str"/>
      <x:c r="K96" s="2" t="str"/>
      <x:c r="L96" s="2" t="str"/>
      <x:c r="M96" s="2" t="str"/>
    </x:row>
    <x:row r="97" ht="71.25" customHeight="1">
      <x:c r="A97" s="2" t="str">
        <x:v>BOR-003</x:v>
      </x:c>
      <x:c r="B97" s="2" t="str">
        <x:v>Borongan</x:v>
      </x:c>
      <x:c r="C97" s="2" t="str">
        <x:v>Payment Guard</x:v>
      </x:c>
      <x:c r="D97" s="2" t="str">
        <x:v>P1</x:v>
      </x:c>
      <x:c r="E97" s="2" t="str">
        <x:v>owner@company.local / owner12345</x:v>
      </x:c>
      <x:c r="F97" s="2" t="str">
        <x:v>Total pembayaran borongan harus sama dengan total slip.</x:v>
      </x:c>
      <x:c r="G97" s="2" t="str">
        <x:v>Prasyarat: Slip UNPAID.
1. Bayar dengan nominal tidak sama
2. Submit</x:v>
      </x:c>
      <x:c r="H97" s="2" t="str">
        <x:v>Ditolak; slip tetap UNPAID.</x:v>
      </x:c>
      <x:c r="I97" s="2" t="str">
        <x:v>Belum Dites</x:v>
      </x:c>
      <x:c r="J97" s="2" t="str"/>
      <x:c r="K97" s="2" t="str"/>
      <x:c r="L97" s="2" t="str"/>
      <x:c r="M97" s="2" t="str"/>
    </x:row>
    <x:row r="98" ht="99.75" customHeight="1">
      <x:c r="A98" s="2" t="str">
        <x:v>EXP-001</x:v>
      </x:c>
      <x:c r="B98" s="2" t="str">
        <x:v>Pengeluaran</x:v>
      </x:c>
      <x:c r="C98" s="2" t="str">
        <x:v>Create Expense Transfer</x:v>
      </x:c>
      <x:c r="D98" s="2" t="str">
        <x:v>P0</x:v>
      </x:c>
      <x:c r="E98" s="2" t="str">
        <x:v>owner@company.local / owner12345; admin@company.local / admin12345; finance@company.local / admin12345</x:v>
      </x:c>
      <x:c r="F98" s="2" t="str">
        <x:v>Buat pengeluaran dengan rekening bank.</x:v>
      </x:c>
      <x:c r="G98" s="2" t="str">
        <x:v>Prasyarat: Kategori biaya dan rekening tersedia.
1. Buka Pengeluaran
2. Klik Baru
3. Isi kategori, nominal, metode transfer, rekening
4. Simpan</x:v>
      </x:c>
      <x:c r="H98" s="2" t="str">
        <x:v>Expense tercatat dan bankTransaction DEBIT mengurangi saldo rekening.</x:v>
      </x:c>
      <x:c r="I98" s="2" t="str">
        <x:v>Belum Dites</x:v>
      </x:c>
      <x:c r="J98" s="2" t="str"/>
      <x:c r="K98" s="2" t="str"/>
      <x:c r="L98" s="2" t="str"/>
      <x:c r="M98" s="2" t="str"/>
    </x:row>
    <x:row r="99" ht="85.5" customHeight="1">
      <x:c r="A99" s="2" t="str">
        <x:v>EXP-002</x:v>
      </x:c>
      <x:c r="B99" s="2" t="str">
        <x:v>Pengeluaran</x:v>
      </x:c>
      <x:c r="C99" s="2" t="str">
        <x:v>Create Expense Cash</x:v>
      </x:c>
      <x:c r="D99" s="2" t="str">
        <x:v>P0</x:v>
      </x:c>
      <x:c r="E99" s="2" t="str">
        <x:v>owner@company.local / owner12345; admin@company.local / admin12345; finance@company.local / admin12345</x:v>
      </x:c>
      <x:c r="F99" s="2" t="str">
        <x:v>Buat pengeluaran tunai.</x:v>
      </x:c>
      <x:c r="G99" s="2" t="str">
        <x:v>Prasyarat: Kas Tunai tersedia.
1. Buat expense CASH
2. Pilih/kosongkan rekening sesuai flow
3. Simpan</x:v>
      </x:c>
      <x:c r="H99" s="2" t="str">
        <x:v>Expense masuk laba rugi; jika diarahkan ke Kas Tunai, arus kas ikut berkurang.</x:v>
      </x:c>
      <x:c r="I99" s="2" t="str">
        <x:v>Belum Dites</x:v>
      </x:c>
      <x:c r="J99" s="2" t="str"/>
      <x:c r="K99" s="2" t="str"/>
      <x:c r="L99" s="2" t="str"/>
      <x:c r="M99" s="2" t="str"/>
    </x:row>
    <x:row r="100" ht="85.5" customHeight="1">
      <x:c r="A100" s="2" t="str">
        <x:v>EXP-003</x:v>
      </x:c>
      <x:c r="B100" s="2" t="str">
        <x:v>Pengeluaran</x:v>
      </x:c>
      <x:c r="C100" s="2" t="str">
        <x:v>Privacy</x:v>
      </x:c>
      <x:c r="D100" s="2" t="str">
        <x:v>P1</x:v>
      </x:c>
      <x:c r="E100" s="2" t="str">
        <x:v>owner@company.local / owner12345; admin@company.local / admin12345; finance@company.local / admin12345</x:v>
      </x:c>
      <x:c r="F100" s="2" t="str">
        <x:v>Expense owner-only tidak terlihat oleh role tidak berhak.</x:v>
      </x:c>
      <x:c r="G100" s="2" t="str">
        <x:v>Prasyarat: Ada expense privacy ownerOnly.
1. Login owner dan finance/operasional
2. Bandingkan daftar expense</x:v>
      </x:c>
      <x:c r="H100" s="2" t="str">
        <x:v>Role selain owner tidak melihat data owner-only.</x:v>
      </x:c>
      <x:c r="I100" s="2" t="str">
        <x:v>Belum Dites</x:v>
      </x:c>
      <x:c r="J100" s="2" t="str"/>
      <x:c r="K100" s="2" t="str"/>
      <x:c r="L100" s="2" t="str"/>
      <x:c r="M100" s="2" t="str"/>
    </x:row>
    <x:row r="101" ht="85.5" customHeight="1">
      <x:c r="A101" s="2" t="str">
        <x:v>ACC-001</x:v>
      </x:c>
      <x:c r="B101" s="2" t="str">
        <x:v>Accounting &amp; Reports</x:v>
      </x:c>
      <x:c r="C101" s="2" t="str">
        <x:v>Laba Rugi</x:v>
      </x:c>
      <x:c r="D101" s="2" t="str">
        <x:v>P0</x:v>
      </x:c>
      <x:c r="E101" s="2" t="str">
        <x:v>owner@company.local / owner12345; finance@company.local / admin12345</x:v>
      </x:c>
      <x:c r="F101" s="2" t="str">
        <x:v>Laporan laba rugi membaca payment dan expense.</x:v>
      </x:c>
      <x:c r="G101" s="2" t="str">
        <x:v>Prasyarat: Ada transaksi nota/expense.
1. Buka Laporan Keuangan
2. Tab Laba Rugi
3. Filter periode</x:v>
      </x:c>
      <x:c r="H101" s="2" t="str">
        <x:v>Pendapatan dari payment, biaya dari expense; net profit benar.</x:v>
      </x:c>
      <x:c r="I101" s="2" t="str">
        <x:v>Belum Dites</x:v>
      </x:c>
      <x:c r="J101" s="2" t="str"/>
      <x:c r="K101" s="2" t="str"/>
      <x:c r="L101" s="2" t="str"/>
      <x:c r="M101" s="2" t="str"/>
    </x:row>
    <x:row r="102" ht="85.5" customHeight="1">
      <x:c r="A102" s="2" t="str">
        <x:v>ACC-002</x:v>
      </x:c>
      <x:c r="B102" s="2" t="str">
        <x:v>Accounting &amp; Reports</x:v>
      </x:c>
      <x:c r="C102" s="2" t="str">
        <x:v>Arus Kas</x:v>
      </x:c>
      <x:c r="D102" s="2" t="str">
        <x:v>P0</x:v>
      </x:c>
      <x:c r="E102" s="2" t="str">
        <x:v>owner@company.local / owner12345; finance@company.local / admin12345</x:v>
      </x:c>
      <x:c r="F102" s="2" t="str">
        <x:v>Arus kas membaca bankTransaction termasuk Kas Tunai.</x:v>
      </x:c>
      <x:c r="G102" s="2" t="str">
        <x:v>Prasyarat: Ada transaksi cash dan transfer.
1. Buka Laporan Keuangan
2. Tab Arus Kas
3. Filter periode</x:v>
      </x:c>
      <x:c r="H102" s="2" t="str">
        <x:v>Cash/bank movement sesuai mutasi rekening; transaksi tanpa akun tidak muncul di arus kas.</x:v>
      </x:c>
      <x:c r="I102" s="2" t="str">
        <x:v>Belum Dites</x:v>
      </x:c>
      <x:c r="J102" s="2" t="str"/>
      <x:c r="K102" s="2" t="str"/>
      <x:c r="L102" s="2" t="str"/>
      <x:c r="M102" s="2" t="str"/>
    </x:row>
    <x:row r="103" ht="85.5" customHeight="1">
      <x:c r="A103" s="2" t="str">
        <x:v>ACC-003</x:v>
      </x:c>
      <x:c r="B103" s="2" t="str">
        <x:v>Accounting &amp; Reports</x:v>
      </x:c>
      <x:c r="C103" s="2" t="str">
        <x:v>Jurnal Umum</x:v>
      </x:c>
      <x:c r="D103" s="2" t="str">
        <x:v>P1</x:v>
      </x:c>
      <x:c r="E103" s="2" t="str">
        <x:v>owner@company.local / owner12345; finance@company.local / admin12345</x:v>
      </x:c>
      <x:c r="F103" s="2" t="str">
        <x:v>Jurnal otomatis dan manual terlihat.</x:v>
      </x:c>
      <x:c r="G103" s="2" t="str">
        <x:v>Prasyarat: Ada transaksi finance.
1. Buka Jurnal Umum
2. Filter periode/source
3. Buka detail</x:v>
      </x:c>
      <x:c r="H103" s="2" t="str">
        <x:v>Entry posted terlihat dengan debit/credit seimbang dan referensi dokumen.</x:v>
      </x:c>
      <x:c r="I103" s="2" t="str">
        <x:v>Belum Dites</x:v>
      </x:c>
      <x:c r="J103" s="2" t="str"/>
      <x:c r="K103" s="2" t="str"/>
      <x:c r="L103" s="2" t="str"/>
      <x:c r="M103" s="2" t="str"/>
    </x:row>
    <x:row r="104" ht="71.25" customHeight="1">
      <x:c r="A104" s="2" t="str">
        <x:v>ACC-004</x:v>
      </x:c>
      <x:c r="B104" s="2" t="str">
        <x:v>Accounting &amp; Reports</x:v>
      </x:c>
      <x:c r="C104" s="2" t="str">
        <x:v>Buku Besar</x:v>
      </x:c>
      <x:c r="D104" s="2" t="str">
        <x:v>P1</x:v>
      </x:c>
      <x:c r="E104" s="2" t="str">
        <x:v>owner@company.local / owner12345; finance@company.local / admin12345</x:v>
      </x:c>
      <x:c r="F104" s="2" t="str">
        <x:v>Buku besar menampilkan mutasi per akun.</x:v>
      </x:c>
      <x:c r="G104" s="2" t="str">
        <x:v>Prasyarat: Chart of account tersedia.
1. Buka Buku Besar
2. Pilih akun/periode</x:v>
      </x:c>
      <x:c r="H104" s="2" t="str">
        <x:v>Saldo awal, debit, kredit, saldo akhir benar.</x:v>
      </x:c>
      <x:c r="I104" s="2" t="str">
        <x:v>Belum Dites</x:v>
      </x:c>
      <x:c r="J104" s="2" t="str"/>
      <x:c r="K104" s="2" t="str"/>
      <x:c r="L104" s="2" t="str"/>
      <x:c r="M104" s="2" t="str"/>
    </x:row>
    <x:row r="105" ht="85.5" customHeight="1">
      <x:c r="A105" s="2" t="str">
        <x:v>ACC-005</x:v>
      </x:c>
      <x:c r="B105" s="2" t="str">
        <x:v>Accounting &amp; Reports</x:v>
      </x:c>
      <x:c r="C105" s="2" t="str">
        <x:v>Akun Perkiraan</x:v>
      </x:c>
      <x:c r="D105" s="2" t="str">
        <x:v>P1</x:v>
      </x:c>
      <x:c r="E105" s="2" t="str">
        <x:v>owner@company.local / owner12345; finance@company.local / admin12345</x:v>
      </x:c>
      <x:c r="F105" s="2" t="str">
        <x:v>Kelola akun perkiraan sesuai hak akses.</x:v>
      </x:c>
      <x:c r="G105" s="2" t="str">
        <x:v>Prasyarat: Login owner/finance.
1. Buka Akun Perkiraan
2. Tambah/edit akun non-sistem
3. Simpan</x:v>
      </x:c>
      <x:c r="H105" s="2" t="str">
        <x:v>Akun tampil dan bisa digunakan sesuai rule; akun sistem tidak rusak.</x:v>
      </x:c>
      <x:c r="I105" s="2" t="str">
        <x:v>Belum Dites</x:v>
      </x:c>
      <x:c r="J105" s="2" t="str"/>
      <x:c r="K105" s="2" t="str"/>
      <x:c r="L105" s="2" t="str"/>
      <x:c r="M105" s="2" t="str"/>
    </x:row>
    <x:row r="106" ht="99.75" customHeight="1">
      <x:c r="A106" s="2" t="str">
        <x:v>INVSTK-001</x:v>
      </x:c>
      <x:c r="B106" s="2" t="str">
        <x:v>Gudang &amp; Pembelian</x:v>
      </x:c>
      <x:c r="C106" s="2" t="str">
        <x:v>Supplier</x:v>
      </x:c>
      <x:c r="D106" s="2" t="str">
        <x:v>P1</x:v>
      </x:c>
      <x:c r="E106" s="2" t="str">
        <x:v>owner@company.local / owner12345; admin@company.local / admin12345</x:v>
      </x:c>
      <x:c r="F106" s="2" t="str">
        <x:v>CRUD supplier.</x:v>
      </x:c>
      <x:c r="G106" s="2" t="str">
        <x:v>Prasyarat: Login role berhak.
1. Buka Supplier
2. Tambah supplier
3. Edit kontak/status
4. Simpan</x:v>
      </x:c>
      <x:c r="H106" s="2" t="str">
        <x:v>Supplier tersimpan dan bisa dipilih di pembelian.</x:v>
      </x:c>
      <x:c r="I106" s="2" t="str">
        <x:v>Belum Dites</x:v>
      </x:c>
      <x:c r="J106" s="2" t="str"/>
      <x:c r="K106" s="2" t="str"/>
      <x:c r="L106" s="2" t="str"/>
      <x:c r="M106" s="2" t="str"/>
    </x:row>
    <x:row r="107" ht="99.75" customHeight="1">
      <x:c r="A107" s="2" t="str">
        <x:v>INVSTK-002</x:v>
      </x:c>
      <x:c r="B107" s="2" t="str">
        <x:v>Gudang &amp; Pembelian</x:v>
      </x:c>
      <x:c r="C107" s="2" t="str">
        <x:v>Barang Gudang</x:v>
      </x:c>
      <x:c r="D107" s="2" t="str">
        <x:v>P1</x:v>
      </x:c>
      <x:c r="E107" s="2" t="str">
        <x:v>owner@company.local / owner12345; admin@company.local / admin12345</x:v>
      </x:c>
      <x:c r="F107" s="2" t="str">
        <x:v>Tambah barang gudang.</x:v>
      </x:c>
      <x:c r="G107" s="2" t="str">
        <x:v>Prasyarat: Supplier opsional tersedia.
1. Buka Barang Gudang
2. Tambah item
3. Isi satuan, stok minimum
4. Simpan</x:v>
      </x:c>
      <x:c r="H107" s="2" t="str">
        <x:v>Item muncul di inventory dan stock recap.</x:v>
      </x:c>
      <x:c r="I107" s="2" t="str">
        <x:v>Belum Dites</x:v>
      </x:c>
      <x:c r="J107" s="2" t="str"/>
      <x:c r="K107" s="2" t="str"/>
      <x:c r="L107" s="2" t="str"/>
      <x:c r="M107" s="2" t="str"/>
    </x:row>
    <x:row r="108" ht="114" customHeight="1">
      <x:c r="A108" s="2" t="str">
        <x:v>INVSTK-003</x:v>
      </x:c>
      <x:c r="B108" s="2" t="str">
        <x:v>Gudang &amp; Pembelian</x:v>
      </x:c>
      <x:c r="C108" s="2" t="str">
        <x:v>Pembelian</x:v>
      </x:c>
      <x:c r="D108" s="2" t="str">
        <x:v>P1</x:v>
      </x:c>
      <x:c r="E108" s="2" t="str">
        <x:v>owner@company.local / owner12345; admin@company.local / admin12345; finance@company.local / admin12345</x:v>
      </x:c>
      <x:c r="F108" s="2" t="str">
        <x:v>Buat pembelian dan terima stok.</x:v>
      </x:c>
      <x:c r="G108" s="2" t="str">
        <x:v>Prasyarat: Supplier dan item gudang tersedia.
1. Buka Pembelian
2. Buat PO/pembelian
3. Tambah item
4. Receive stok
5. Simpan</x:v>
      </x:c>
      <x:c r="H108" s="2" t="str">
        <x:v>Purchase status dan stock movement benar; stock recap bertambah.</x:v>
      </x:c>
      <x:c r="I108" s="2" t="str">
        <x:v>Belum Dites</x:v>
      </x:c>
      <x:c r="J108" s="2" t="str"/>
      <x:c r="K108" s="2" t="str"/>
      <x:c r="L108" s="2" t="str"/>
      <x:c r="M108" s="2" t="str"/>
    </x:row>
    <x:row r="109" ht="99.75" customHeight="1">
      <x:c r="A109" s="2" t="str">
        <x:v>INVSTK-004</x:v>
      </x:c>
      <x:c r="B109" s="2" t="str">
        <x:v>Gudang &amp; Pembelian</x:v>
      </x:c>
      <x:c r="C109" s="2" t="str">
        <x:v>Purchase Payment</x:v>
      </x:c>
      <x:c r="D109" s="2" t="str">
        <x:v>P1</x:v>
      </x:c>
      <x:c r="E109" s="2" t="str">
        <x:v>owner@company.local / owner12345; finance@company.local / admin12345</x:v>
      </x:c>
      <x:c r="F109" s="2" t="str">
        <x:v>Pembayaran pembelian mempengaruhi kas/bank bila diposting.</x:v>
      </x:c>
      <x:c r="G109" s="2" t="str">
        <x:v>Prasyarat: Purchase payable/paid flow tersedia.
1. Buka detail pembelian
2. Catat pembayaran
3. Pilih rekening
4. Simpan</x:v>
      </x:c>
      <x:c r="H109" s="2" t="str">
        <x:v>Status bayar dan bankTransaction/expense sesuai desain pembelian.</x:v>
      </x:c>
      <x:c r="I109" s="2" t="str">
        <x:v>Belum Dites</x:v>
      </x:c>
      <x:c r="J109" s="2" t="str"/>
      <x:c r="K109" s="2" t="str"/>
      <x:c r="L109" s="2" t="str"/>
      <x:c r="M109" s="2" t="str"/>
    </x:row>
    <x:row r="110" ht="85.5" customHeight="1">
      <x:c r="A110" s="2" t="str">
        <x:v>INVSTK-005</x:v>
      </x:c>
      <x:c r="B110" s="2" t="str">
        <x:v>Gudang &amp; Pembelian</x:v>
      </x:c>
      <x:c r="C110" s="2" t="str">
        <x:v>Stock Recap</x:v>
      </x:c>
      <x:c r="D110" s="2" t="str">
        <x:v>P1</x:v>
      </x:c>
      <x:c r="E110" s="2" t="str">
        <x:v>owner@company.local / owner12345; admin@company.local / admin12345; finance@company.local / admin12345</x:v>
      </x:c>
      <x:c r="F110" s="2" t="str">
        <x:v>Laporan stok sesuai movement.</x:v>
      </x:c>
      <x:c r="G110" s="2" t="str">
        <x:v>Prasyarat: Ada pembelian dan material usage.
1. Buka Laporan Stok
2. Filter item/periode</x:v>
      </x:c>
      <x:c r="H110" s="2" t="str">
        <x:v>Saldo awal, masuk, keluar, akhir sesuai movement.</x:v>
      </x:c>
      <x:c r="I110" s="2" t="str">
        <x:v>Belum Dites</x:v>
      </x:c>
      <x:c r="J110" s="2" t="str"/>
      <x:c r="K110" s="2" t="str"/>
      <x:c r="L110" s="2" t="str"/>
      <x:c r="M110" s="2" t="str"/>
    </x:row>
    <x:row r="111" ht="99.75" customHeight="1">
      <x:c r="A111" s="2" t="str">
        <x:v>INVSTK-006</x:v>
      </x:c>
      <x:c r="B111" s="2" t="str">
        <x:v>Gudang &amp; Pembelian</x:v>
      </x:c>
      <x:c r="C111" s="2" t="str">
        <x:v>Material Usage</x:v>
      </x:c>
      <x:c r="D111" s="2" t="str">
        <x:v>P1</x:v>
      </x:c>
      <x:c r="E111" s="2" t="str">
        <x:v>owner@company.local / owner12345; armada@company.local / admin12345</x:v>
      </x:c>
      <x:c r="F111" s="2" t="str">
        <x:v>Material maintenance mengurangi stok.</x:v>
      </x:c>
      <x:c r="G111" s="2" t="str">
        <x:v>Prasyarat: Maintenance menggunakan item gudang.
1. Buka maintenance
2. Tambah material usage
3. Simpan
4. Cek stock recap</x:v>
      </x:c>
      <x:c r="H111" s="2" t="str">
        <x:v>Stock movement OUT tercatat dan stok berkurang.</x:v>
      </x:c>
      <x:c r="I111" s="2" t="str">
        <x:v>Belum Dites</x:v>
      </x:c>
      <x:c r="J111" s="2" t="str"/>
      <x:c r="K111" s="2" t="str"/>
      <x:c r="L111" s="2" t="str"/>
      <x:c r="M111" s="2" t="str"/>
    </x:row>
    <x:row r="112" ht="99.75" customHeight="1">
      <x:c r="A112" s="2" t="str">
        <x:v>FLT-001</x:v>
      </x:c>
      <x:c r="B112" s="2" t="str">
        <x:v>Armada</x:v>
      </x:c>
      <x:c r="C112" s="2" t="str">
        <x:v>Kendaraan</x:v>
      </x:c>
      <x:c r="D112" s="2" t="str">
        <x:v>P0</x:v>
      </x:c>
      <x:c r="E112" s="2" t="str">
        <x:v>owner@company.local / owner12345; armada@company.local / admin12345</x:v>
      </x:c>
      <x:c r="F112" s="2" t="str">
        <x:v>CRUD kendaraan.</x:v>
      </x:c>
      <x:c r="G112" s="2" t="str">
        <x:v>Prasyarat: Login armada/owner.
1. Buka Kendaraan
2. Tambah unit
3. Isi plat, kategori, status
4. Simpan</x:v>
      </x:c>
      <x:c r="H112" s="2" t="str">
        <x:v>Kendaraan aktif muncul di DO dan fleet list.</x:v>
      </x:c>
      <x:c r="I112" s="2" t="str">
        <x:v>Belum Dites</x:v>
      </x:c>
      <x:c r="J112" s="2" t="str"/>
      <x:c r="K112" s="2" t="str"/>
      <x:c r="L112" s="2" t="str"/>
      <x:c r="M112" s="2" t="str"/>
    </x:row>
    <x:row r="113" ht="71.25" customHeight="1">
      <x:c r="A113" s="2" t="str">
        <x:v>FLT-002</x:v>
      </x:c>
      <x:c r="B113" s="2" t="str">
        <x:v>Armada</x:v>
      </x:c>
      <x:c r="C113" s="2" t="str">
        <x:v>Vehicle Detail</x:v>
      </x:c>
      <x:c r="D113" s="2" t="str">
        <x:v>P1</x:v>
      </x:c>
      <x:c r="E113" s="2" t="str">
        <x:v>owner@company.local / owner12345; armada@company.local / admin12345</x:v>
      </x:c>
      <x:c r="F113" s="2" t="str">
        <x:v>Detail kendaraan menampilkan service/ban/riwayat.</x:v>
      </x:c>
      <x:c r="G113" s="2" t="str">
        <x:v>Prasyarat: Kendaraan tersedia.
1. Buka detail kendaraan
2. Cek informasi, ban, maintenance, dokumen</x:v>
      </x:c>
      <x:c r="H113" s="2" t="str">
        <x:v>Data detail konsisten; field sensitif hanya untuk role berhak.</x:v>
      </x:c>
      <x:c r="I113" s="2" t="str">
        <x:v>Belum Dites</x:v>
      </x:c>
      <x:c r="J113" s="2" t="str"/>
      <x:c r="K113" s="2" t="str"/>
      <x:c r="L113" s="2" t="str"/>
      <x:c r="M113" s="2" t="str"/>
    </x:row>
    <x:row r="114" ht="99.75" customHeight="1">
      <x:c r="A114" s="2" t="str">
        <x:v>FLT-003</x:v>
      </x:c>
      <x:c r="B114" s="2" t="str">
        <x:v>Armada</x:v>
      </x:c>
      <x:c r="C114" s="2" t="str">
        <x:v>Supir</x:v>
      </x:c>
      <x:c r="D114" s="2" t="str">
        <x:v>P0</x:v>
      </x:c>
      <x:c r="E114" s="2" t="str">
        <x:v>owner@company.local / owner12345; armada@company.local / admin12345</x:v>
      </x:c>
      <x:c r="F114" s="2" t="str">
        <x:v>CRUD supir.</x:v>
      </x:c>
      <x:c r="G114" s="2" t="str">
        <x:v>Prasyarat: Login armada/owner.
1. Buka Supir
2. Tambah supir
3. Isi kontak/SIM/status
4. Simpan</x:v>
      </x:c>
      <x:c r="H114" s="2" t="str">
        <x:v>Supir aktif bisa dipilih pada DO.</x:v>
      </x:c>
      <x:c r="I114" s="2" t="str">
        <x:v>Belum Dites</x:v>
      </x:c>
      <x:c r="J114" s="2" t="str"/>
      <x:c r="K114" s="2" t="str"/>
      <x:c r="L114" s="2" t="str"/>
      <x:c r="M114" s="2" t="str"/>
    </x:row>
    <x:row r="115" ht="99.75" customHeight="1">
      <x:c r="A115" s="2" t="str">
        <x:v>FLT-004</x:v>
      </x:c>
      <x:c r="B115" s="2" t="str">
        <x:v>Armada</x:v>
      </x:c>
      <x:c r="C115" s="2" t="str">
        <x:v>Akses Mobile Driver</x:v>
      </x:c>
      <x:c r="D115" s="2" t="str">
        <x:v>P0</x:v>
      </x:c>
      <x:c r="E115" s="2" t="str">
        <x:v>owner@company.local / owner12345; armada@company.local / admin12345</x:v>
      </x:c>
      <x:c r="F115" s="2" t="str">
        <x:v>Buat/ubah akses mobile driver.</x:v>
      </x:c>
      <x:c r="G115" s="2" t="str">
        <x:v>Prasyarat: Supir aktif.
1. Buka detail supir
2. Klik Akses Mobile
3. Isi email/password/status
4. Simpan</x:v>
      </x:c>
      <x:c r="H115" s="2" t="str">
        <x:v>Akun driver aktif, bisa login mobile, satu supir tidak punya akun aktif ganda.</x:v>
      </x:c>
      <x:c r="I115" s="2" t="str">
        <x:v>Belum Dites</x:v>
      </x:c>
      <x:c r="J115" s="2" t="str"/>
      <x:c r="K115" s="2" t="str"/>
      <x:c r="L115" s="2" t="str"/>
      <x:c r="M115" s="2" t="str"/>
    </x:row>
    <x:row r="116" ht="71.25" customHeight="1">
      <x:c r="A116" s="2" t="str">
        <x:v>FLT-005</x:v>
      </x:c>
      <x:c r="B116" s="2" t="str">
        <x:v>Armada</x:v>
      </x:c>
      <x:c r="C116" s="2" t="str">
        <x:v>Deactivate Driver</x:v>
      </x:c>
      <x:c r="D116" s="2" t="str">
        <x:v>P0</x:v>
      </x:c>
      <x:c r="E116" s="2" t="str">
        <x:v>owner@company.local / owner12345; armada@company.local / admin12345</x:v>
      </x:c>
      <x:c r="F116" s="2" t="str">
        <x:v>Nonaktifkan supir menghentikan akun/tracking aktif.</x:v>
      </x:c>
      <x:c r="G116" s="2" t="str">
        <x:v>Prasyarat: Supir punya akun mobile/tracking aktif.
1. Nonaktifkan supir
2. Cek akun mobile dan tracking DO</x:v>
      </x:c>
      <x:c r="H116" s="2" t="str">
        <x:v>Akun mobile ikut nonaktif, tracking aktif ditandai STOPPED, lock driver dibersihkan.</x:v>
      </x:c>
      <x:c r="I116" s="2" t="str">
        <x:v>Belum Dites</x:v>
      </x:c>
      <x:c r="J116" s="2" t="str"/>
      <x:c r="K116" s="2" t="str"/>
      <x:c r="L116" s="2" t="str"/>
      <x:c r="M116" s="2" t="str"/>
    </x:row>
    <x:row r="117" ht="99.75" customHeight="1">
      <x:c r="A117" s="2" t="str">
        <x:v>FLT-006</x:v>
      </x:c>
      <x:c r="B117" s="2" t="str">
        <x:v>Armada</x:v>
      </x:c>
      <x:c r="C117" s="2" t="str">
        <x:v>Maintenance</x:v>
      </x:c>
      <x:c r="D117" s="2" t="str">
        <x:v>P1</x:v>
      </x:c>
      <x:c r="E117" s="2" t="str">
        <x:v>owner@company.local / owner12345; armada@company.local / admin12345</x:v>
      </x:c>
      <x:c r="F117" s="2" t="str">
        <x:v>Buat jadwal dan selesaikan maintenance.</x:v>
      </x:c>
      <x:c r="G117" s="2" t="str">
        <x:v>Prasyarat: Kendaraan tersedia.
1. Buka Maintenance
2. Tambah jadwal
3. Ubah status DONE
4. Isi biaya/material</x:v>
      </x:c>
      <x:c r="H117" s="2" t="str">
        <x:v>Maintenance tersimpan, expense/stock movement sesuai input.</x:v>
      </x:c>
      <x:c r="I117" s="2" t="str">
        <x:v>Belum Dites</x:v>
      </x:c>
      <x:c r="J117" s="2" t="str"/>
      <x:c r="K117" s="2" t="str"/>
      <x:c r="L117" s="2" t="str"/>
      <x:c r="M117" s="2" t="str"/>
    </x:row>
    <x:row r="118" ht="99.75" customHeight="1">
      <x:c r="A118" s="2" t="str">
        <x:v>FLT-007</x:v>
      </x:c>
      <x:c r="B118" s="2" t="str">
        <x:v>Armada</x:v>
      </x:c>
      <x:c r="C118" s="2" t="str">
        <x:v>Ban</x:v>
      </x:c>
      <x:c r="D118" s="2" t="str">
        <x:v>P0</x:v>
      </x:c>
      <x:c r="E118" s="2" t="str">
        <x:v>owner@company.local / owner12345; armada@company.local / admin12345</x:v>
      </x:c>
      <x:c r="F118" s="2" t="str">
        <x:v>Kelola ban dengan slot valid.</x:v>
      </x:c>
      <x:c r="G118" s="2" t="str">
        <x:v>Prasyarat: Kendaraan tersedia.
1. Buka Ban
2. Tambah ban
3. Pasang ke slot valid
4. Simpan</x:v>
      </x:c>
      <x:c r="H118" s="2" t="str">
        <x:v>Ban IN_USE/SPARE sesuai slot; detail kendaraan menampilkan posisi benar.</x:v>
      </x:c>
      <x:c r="I118" s="2" t="str">
        <x:v>Belum Dites</x:v>
      </x:c>
      <x:c r="J118" s="2" t="str"/>
      <x:c r="K118" s="2" t="str"/>
      <x:c r="L118" s="2" t="str"/>
      <x:c r="M118" s="2" t="str"/>
    </x:row>
    <x:row r="119" ht="71.25" customHeight="1">
      <x:c r="A119" s="2" t="str">
        <x:v>FLT-008</x:v>
      </x:c>
      <x:c r="B119" s="2" t="str">
        <x:v>Armada</x:v>
      </x:c>
      <x:c r="C119" s="2" t="str">
        <x:v>Ban Slot Guard</x:v>
      </x:c>
      <x:c r="D119" s="2" t="str">
        <x:v>P0</x:v>
      </x:c>
      <x:c r="E119" s="2" t="str">
        <x:v>owner@company.local / owner12345; armada@company.local / admin12345</x:v>
      </x:c>
      <x:c r="F119" s="2" t="str">
        <x:v>Satu slot kendaraan tidak boleh ditempati dua ban aktif.</x:v>
      </x:c>
      <x:c r="G119" s="2" t="str">
        <x:v>Prasyarat: Slot sudah terisi.
1. Pasang ban lain ke slot sama
2. Submit</x:v>
      </x:c>
      <x:c r="H119" s="2" t="str">
        <x:v>Ditolak dengan pesan slot terpakai.</x:v>
      </x:c>
      <x:c r="I119" s="2" t="str">
        <x:v>Belum Dites</x:v>
      </x:c>
      <x:c r="J119" s="2" t="str"/>
      <x:c r="K119" s="2" t="str"/>
      <x:c r="L119" s="2" t="str"/>
      <x:c r="M119" s="2" t="str"/>
    </x:row>
    <x:row r="120" ht="99.75" customHeight="1">
      <x:c r="A120" s="2" t="str">
        <x:v>FLT-009</x:v>
      </x:c>
      <x:c r="B120" s="2" t="str">
        <x:v>Armada</x:v>
      </x:c>
      <x:c r="C120" s="2" t="str">
        <x:v>Incident Admin</x:v>
      </x:c>
      <x:c r="D120" s="2" t="str">
        <x:v>P0</x:v>
      </x:c>
      <x:c r="E120" s="2" t="str">
        <x:v>owner@company.local / owner12345; armada@company.local / admin12345</x:v>
      </x:c>
      <x:c r="F120" s="2" t="str">
        <x:v>Admin membuat dan menyelesaikan insiden.</x:v>
      </x:c>
      <x:c r="G120" s="2" t="str">
        <x:v>Prasyarat: Kendaraan/driver tersedia.
1. Buka Insiden
2. Tambah insiden
3. Tambah action/resolution
4. Ubah status</x:v>
      </x:c>
      <x:c r="H120" s="2" t="str">
        <x:v>Incident status dan log action benar; settlement biaya bila ada sesuai flow.</x:v>
      </x:c>
      <x:c r="I120" s="2" t="str">
        <x:v>Belum Dites</x:v>
      </x:c>
      <x:c r="J120" s="2" t="str"/>
      <x:c r="K120" s="2" t="str"/>
      <x:c r="L120" s="2" t="str"/>
      <x:c r="M120" s="2" t="str"/>
    </x:row>
    <x:row r="121" ht="85.5" customHeight="1">
      <x:c r="A121" s="2" t="str">
        <x:v>FLT-010</x:v>
      </x:c>
      <x:c r="B121" s="2" t="str">
        <x:v>Armada</x:v>
      </x:c>
      <x:c r="C121" s="2" t="str">
        <x:v>Driver Score</x:v>
      </x:c>
      <x:c r="D121" s="2" t="str">
        <x:v>P1</x:v>
      </x:c>
      <x:c r="E121" s="2" t="str">
        <x:v>owner@company.local / owner12345; admin@company.local / admin12345; armada@company.local / admin12345</x:v>
      </x:c>
      <x:c r="F121" s="2" t="str">
        <x:v>Skor/sanksi supir tercatat.</x:v>
      </x:c>
      <x:c r="G121" s="2" t="str">
        <x:v>Prasyarat: Supir tersedia.
1. Buka Supir/Skors
2. Tambah skor/sanksi
3. Acknowledge bila perlu</x:v>
      </x:c>
      <x:c r="H121" s="2" t="str">
        <x:v>Skor tersimpan dan muncul di detail supir.</x:v>
      </x:c>
      <x:c r="I121" s="2" t="str">
        <x:v>Belum Dites</x:v>
      </x:c>
      <x:c r="J121" s="2" t="str"/>
      <x:c r="K121" s="2" t="str"/>
      <x:c r="L121" s="2" t="str"/>
      <x:c r="M121" s="2" t="str"/>
    </x:row>
    <x:row r="122" ht="99.75" customHeight="1">
      <x:c r="A122" s="2" t="str">
        <x:v>HR-001</x:v>
      </x:c>
      <x:c r="B122" s="2" t="str">
        <x:v>SDM</x:v>
      </x:c>
      <x:c r="C122" s="2" t="str">
        <x:v>Karyawan</x:v>
      </x:c>
      <x:c r="D122" s="2" t="str">
        <x:v>P2</x:v>
      </x:c>
      <x:c r="E122" s="2" t="str">
        <x:v>owner@company.local / owner12345; admin@company.local / admin12345</x:v>
      </x:c>
      <x:c r="F122" s="2" t="str">
        <x:v>CRUD karyawan.</x:v>
      </x:c>
      <x:c r="G122" s="2" t="str">
        <x:v>Prasyarat: Login role berhak.
1. Buka Karyawan
2. Tambah data
3. Edit status
4. Simpan</x:v>
      </x:c>
      <x:c r="H122" s="2" t="str">
        <x:v>Karyawan tersimpan dan bisa dipakai absensi.</x:v>
      </x:c>
      <x:c r="I122" s="2" t="str">
        <x:v>Belum Dites</x:v>
      </x:c>
      <x:c r="J122" s="2" t="str"/>
      <x:c r="K122" s="2" t="str"/>
      <x:c r="L122" s="2" t="str"/>
      <x:c r="M122" s="2" t="str"/>
    </x:row>
    <x:row r="123" ht="99.75" customHeight="1">
      <x:c r="A123" s="2" t="str">
        <x:v>HR-002</x:v>
      </x:c>
      <x:c r="B123" s="2" t="str">
        <x:v>SDM</x:v>
      </x:c>
      <x:c r="C123" s="2" t="str">
        <x:v>Absensi</x:v>
      </x:c>
      <x:c r="D123" s="2" t="str">
        <x:v>P2</x:v>
      </x:c>
      <x:c r="E123" s="2" t="str">
        <x:v>owner@company.local / owner12345; admin@company.local / admin12345</x:v>
      </x:c>
      <x:c r="F123" s="2" t="str">
        <x:v>Catat absensi karyawan.</x:v>
      </x:c>
      <x:c r="G123" s="2" t="str">
        <x:v>Prasyarat: Karyawan aktif.
1. Buka Absensi
2. Pilih tanggal
3. Set hadir/izin/sakit/alpa
4. Simpan</x:v>
      </x:c>
      <x:c r="H123" s="2" t="str">
        <x:v>Absensi tersimpan dan filter/export benar.</x:v>
      </x:c>
      <x:c r="I123" s="2" t="str">
        <x:v>Belum Dites</x:v>
      </x:c>
      <x:c r="J123" s="2" t="str"/>
      <x:c r="K123" s="2" t="str"/>
      <x:c r="L123" s="2" t="str"/>
      <x:c r="M123" s="2" t="str"/>
    </x:row>
    <x:row r="124" ht="99.75" customHeight="1">
      <x:c r="A124" s="2" t="str">
        <x:v>SET-001</x:v>
      </x:c>
      <x:c r="B124" s="2" t="str">
        <x:v>Pengaturan</x:v>
      </x:c>
      <x:c r="C124" s="2" t="str">
        <x:v>Company</x:v>
      </x:c>
      <x:c r="D124" s="2" t="str">
        <x:v>P1</x:v>
      </x:c>
      <x:c r="E124" s="2" t="str">
        <x:v>owner@company.local / owner12345</x:v>
      </x:c>
      <x:c r="F124" s="2" t="str">
        <x:v>Ubah profil perusahaan dan dokumen.</x:v>
      </x:c>
      <x:c r="G124" s="2" t="str">
        <x:v>Prasyarat: Login owner.
1. Buka Perusahaan &amp; Dokumen
2. Ubah nama/logo/alamat/theme
3. Simpan
4. Print dokumen</x:v>
      </x:c>
      <x:c r="H124" s="2" t="str">
        <x:v>Profil tersimpan dan dipakai pada header dokumen/tema.</x:v>
      </x:c>
      <x:c r="I124" s="2" t="str">
        <x:v>Belum Dites</x:v>
      </x:c>
      <x:c r="J124" s="2" t="str"/>
      <x:c r="K124" s="2" t="str"/>
      <x:c r="L124" s="2" t="str"/>
      <x:c r="M124" s="2" t="str"/>
    </x:row>
    <x:row r="125" ht="85.5" customHeight="1">
      <x:c r="A125" s="2" t="str">
        <x:v>SET-002</x:v>
      </x:c>
      <x:c r="B125" s="2" t="str">
        <x:v>Pengaturan</x:v>
      </x:c>
      <x:c r="C125" s="2" t="str">
        <x:v>User Management</x:v>
      </x:c>
      <x:c r="D125" s="2" t="str">
        <x:v>P0</x:v>
      </x:c>
      <x:c r="E125" s="2" t="str">
        <x:v>owner@company.local / owner12345</x:v>
      </x:c>
      <x:c r="F125" s="2" t="str">
        <x:v>Buat user internal dengan role.</x:v>
      </x:c>
      <x:c r="G125" s="2" t="str">
        <x:v>Prasyarat: Login owner.
1. Buka Pengguna Internal
2. Tambah user role finance/armada
3. Login user baru</x:v>
      </x:c>
      <x:c r="H125" s="2" t="str">
        <x:v>User bisa login dan menu sesuai role.</x:v>
      </x:c>
      <x:c r="I125" s="2" t="str">
        <x:v>Belum Dites</x:v>
      </x:c>
      <x:c r="J125" s="2" t="str"/>
      <x:c r="K125" s="2" t="str"/>
      <x:c r="L125" s="2" t="str"/>
      <x:c r="M125" s="2" t="str"/>
    </x:row>
    <x:row r="126" ht="71.25" customHeight="1">
      <x:c r="A126" s="2" t="str">
        <x:v>SET-003</x:v>
      </x:c>
      <x:c r="B126" s="2" t="str">
        <x:v>Pengaturan</x:v>
      </x:c>
      <x:c r="C126" s="2" t="str">
        <x:v>Audit Logs</x:v>
      </x:c>
      <x:c r="D126" s="2" t="str">
        <x:v>P0</x:v>
      </x:c>
      <x:c r="E126" s="2" t="str">
        <x:v>owner@company.local / owner12345</x:v>
      </x:c>
      <x:c r="F126" s="2" t="str">
        <x:v>Audit log tercatat untuk mutasi penting.</x:v>
      </x:c>
      <x:c r="G126" s="2" t="str">
        <x:v>Prasyarat: Lakukan create/update/delete di beberapa modul.
1. Buka Audit Aktivitas
2. Filter entity/user/tanggal</x:v>
      </x:c>
      <x:c r="H126" s="2" t="str">
        <x:v>Log menampilkan actor, action, entity, summary, timestamp Asia/Jakarta konsisten.</x:v>
      </x:c>
      <x:c r="I126" s="2" t="str">
        <x:v>Belum Dites</x:v>
      </x:c>
      <x:c r="J126" s="2" t="str"/>
      <x:c r="K126" s="2" t="str"/>
      <x:c r="L126" s="2" t="str"/>
      <x:c r="M126" s="2" t="str"/>
    </x:row>
    <x:row r="127" ht="85.5" customHeight="1">
      <x:c r="A127" s="2" t="str">
        <x:v>SET-004</x:v>
      </x:c>
      <x:c r="B127" s="2" t="str">
        <x:v>Pengaturan</x:v>
      </x:c>
      <x:c r="C127" s="2" t="str">
        <x:v>Password Hash</x:v>
      </x:c>
      <x:c r="D127" s="2" t="str">
        <x:v>P0</x:v>
      </x:c>
      <x:c r="E127" s="2" t="str">
        <x:v>owner@company.local / owner12345</x:v>
      </x:c>
      <x:c r="F127" s="2" t="str">
        <x:v>Password user tidak tersimpan plaintext.</x:v>
      </x:c>
      <x:c r="G127" s="2" t="str">
        <x:v>Prasyarat: Ada user internal/driver.
1. Buat/ganti password user
2. Jalankan audit password hash atau cek data melalui admin yang tersedia</x:v>
      </x:c>
      <x:c r="H127" s="2" t="str">
        <x:v>Tidak ada password plaintext; login tetap valid.</x:v>
      </x:c>
      <x:c r="I127" s="2" t="str">
        <x:v>Belum Dites</x:v>
      </x:c>
      <x:c r="J127" s="2" t="str"/>
      <x:c r="K127" s="2" t="str"/>
      <x:c r="L127" s="2" t="str"/>
      <x:c r="M127" s="2" t="str"/>
    </x:row>
    <x:row r="128" ht="99.75" customHeight="1">
      <x:c r="A128" s="2" t="str">
        <x:v>NF-001</x:v>
      </x:c>
      <x:c r="B128" s="2" t="str">
        <x:v>Non-Functional</x:v>
      </x:c>
      <x:c r="C128" s="2" t="str">
        <x:v>Responsive Admin</x:v>
      </x:c>
      <x:c r="D128" s="2" t="str">
        <x:v>P1</x:v>
      </x:c>
      <x:c r="E128" s="2" t="str">
        <x:v>owner@company.local / owner12345; admin@company.local / admin12345; finance@company.local / admin12345; armada@company.local / admin12345</x:v>
      </x:c>
      <x:c r="F128" s="2" t="str">
        <x:v>Halaman utama rapi di desktop/tablet/mobile.</x:v>
      </x:c>
      <x:c r="G128" s="2" t="str">
        <x:v>Prasyarat: Browser desktop dan viewport mobile.
1. Buka dashboard/order/DO/invoice/detail
2. Ubah viewport 360, 768, 1440
3. Cek overlap/scroll</x:v>
      </x:c>
      <x:c r="H128" s="2" t="str">
        <x:v>Tidak ada teks overlap, tombol bisa diklik, tabel/form tetap usable.</x:v>
      </x:c>
      <x:c r="I128" s="2" t="str">
        <x:v>Belum Dites</x:v>
      </x:c>
      <x:c r="J128" s="2" t="str"/>
      <x:c r="K128" s="2" t="str"/>
      <x:c r="L128" s="2" t="str"/>
      <x:c r="M128" s="2" t="str"/>
    </x:row>
    <x:row r="129" ht="85.5" customHeight="1">
      <x:c r="A129" s="2" t="str">
        <x:v>NF-002</x:v>
      </x:c>
      <x:c r="B129" s="2" t="str">
        <x:v>Non-Functional</x:v>
      </x:c>
      <x:c r="C129" s="2" t="str">
        <x:v>Mobile Driver UI</x:v>
      </x:c>
      <x:c r="D129" s="2" t="str">
        <x:v>P0</x:v>
      </x:c>
      <x:c r="E129" s="2" t="str">
        <x:v>driver.agus@company.local / driver12345</x:v>
      </x:c>
      <x:c r="F129" s="2" t="str">
        <x:v>Mobile driver usable di layar kecil dan keyboard.</x:v>
      </x:c>
      <x:c r="G129" s="2" t="str">
        <x:v>Prasyarat: App/portal driver.
1. Buka login/list/manifest/completion/incident
2. Ketik input panjang dan angka
3. Buka keyboard</x:v>
      </x:c>
      <x:c r="H129" s="2" t="str">
        <x:v>Tidak ada halaman hilang, input stabil, CTA terlihat.</x:v>
      </x:c>
      <x:c r="I129" s="2" t="str">
        <x:v>Belum Dites</x:v>
      </x:c>
      <x:c r="J129" s="2" t="str"/>
      <x:c r="K129" s="2" t="str"/>
      <x:c r="L129" s="2" t="str"/>
      <x:c r="M129" s="2" t="str"/>
    </x:row>
    <x:row r="130" ht="71.25" customHeight="1">
      <x:c r="A130" s="2" t="str">
        <x:v>NF-003</x:v>
      </x:c>
      <x:c r="B130" s="2" t="str">
        <x:v>Non-Functional</x:v>
      </x:c>
      <x:c r="C130" s="2" t="str">
        <x:v>Timezone</x:v>
      </x:c>
      <x:c r="D130" s="2" t="str">
        <x:v>P0</x:v>
      </x:c>
      <x:c r="E130" s="2" t="str">
        <x:v>Gunakan akun sesuai role pada skenario.</x:v>
      </x:c>
      <x:c r="F130" s="2" t="str">
        <x:v>Tanggal/waktu memakai Asia/Jakarta secara konsisten.</x:v>
      </x:c>
      <x:c r="G130" s="2" t="str">
        <x:v>Prasyarat: Data transaksi dibuat hari ini.
1. Buat DO/nota/payment/incident
2. Cek timestamp admin/mobile/audit/log</x:v>
      </x:c>
      <x:c r="H130" s="2" t="str">
        <x:v>Tanggal tidak maju/mundur karena UTC; label sesuai Asia/Jakarta.</x:v>
      </x:c>
      <x:c r="I130" s="2" t="str">
        <x:v>Belum Dites</x:v>
      </x:c>
      <x:c r="J130" s="2" t="str"/>
      <x:c r="K130" s="2" t="str"/>
      <x:c r="L130" s="2" t="str"/>
      <x:c r="M130" s="2" t="str"/>
    </x:row>
    <x:row r="131" ht="71.25" customHeight="1">
      <x:c r="A131" s="2" t="str">
        <x:v>NF-004</x:v>
      </x:c>
      <x:c r="B131" s="2" t="str">
        <x:v>Non-Functional</x:v>
      </x:c>
      <x:c r="C131" s="2" t="str">
        <x:v>Export/Print</x:v>
      </x:c>
      <x:c r="D131" s="2" t="str">
        <x:v>P1</x:v>
      </x:c>
      <x:c r="E131" s="2" t="str">
        <x:v>Gunakan akun sesuai role pada skenario.</x:v>
      </x:c>
      <x:c r="F131" s="2" t="str">
        <x:v>Export/print tidak error.</x:v>
      </x:c>
      <x:c r="G131" s="2" t="str">
        <x:v>Prasyarat: Data tersedia di modul.
1. Coba print DO/SJ/nota
2. Export tabel yang punya export</x:v>
      </x:c>
      <x:c r="H131" s="2" t="str">
        <x:v>File terbentuk, isi sesuai filter, layout dokumen rapi.</x:v>
      </x:c>
      <x:c r="I131" s="2" t="str">
        <x:v>Belum Dites</x:v>
      </x:c>
      <x:c r="J131" s="2" t="str"/>
      <x:c r="K131" s="2" t="str"/>
      <x:c r="L131" s="2" t="str"/>
      <x:c r="M131" s="2" t="str"/>
    </x:row>
    <x:row r="132" ht="71.25" customHeight="1">
      <x:c r="A132" s="2" t="str">
        <x:v>NF-005</x:v>
      </x:c>
      <x:c r="B132" s="2" t="str">
        <x:v>Non-Functional</x:v>
      </x:c>
      <x:c r="C132" s="2" t="str">
        <x:v>Data Integrity</x:v>
      </x:c>
      <x:c r="D132" s="2" t="str">
        <x:v>P0</x:v>
      </x:c>
      <x:c r="E132" s="2" t="str">
        <x:v>owner@company.local / owner12345</x:v>
      </x:c>
      <x:c r="F132" s="2" t="str">
        <x:v>Tidak ada mismatch DO-SJ-nota-order setelah UAT.</x:v>
      </x:c>
      <x:c r="G132" s="2" t="str">
        <x:v>Prasyarat: Selesai menjalankan UAT batch.
1. Jalankan audit invariant yang tersedia
2. Review hasil</x:v>
      </x:c>
      <x:c r="H132" s="2" t="str">
        <x:v>Audit pass; tidak ada orphan/stale record.</x:v>
      </x:c>
      <x:c r="I132" s="2" t="str">
        <x:v>Belum Dites</x:v>
      </x:c>
      <x:c r="J132" s="2" t="str"/>
      <x:c r="K132" s="2" t="str"/>
      <x:c r="L132" s="2" t="str"/>
      <x:c r="M132" s="2" t="str"/>
    </x:row>
  </x:sheetData>
  <x:dataValidations count="2">
    <x:dataValidation type="list" sqref="I2:I132">
      <x:formula1>"Belum Dites,Sesuai,Ada Bug,Blocked,N/A"</x:formula1>
    </x:dataValidation>
    <x:dataValidation type="list" sqref="D2:D13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0701773c0847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940000534057617" hidden="0" customWidth="1"/>
    <x:col min="2" max="2" width="69.30999755859375" hidden="0" customWidth="1"/>
  </x:cols>
  <x:sheetData>
    <x:row r="1" ht="39" customHeight="1">
      <x:c r="A1" s="5" t="str">
        <x:v>Metric</x:v>
      </x:c>
      <x:c r="B1" s="5" t="str">
        <x:v>Value</x:v>
      </x:c>
    </x:row>
    <x:row r="2" ht="40.5" customHeight="1">
      <x:c r="A2" s="2" t="str">
        <x:v>Total Checklist</x:v>
      </x:c>
      <x:c r="B2" s="2" t="n">
        <x:f>COUNTIF('01 Checklist UAT'!A:A,"&lt;&gt;")-1</x:f>
        <x:v>131</x:v>
      </x:c>
    </x:row>
    <x:row r="3" ht="40.5" customHeight="1">
      <x:c r="A3" s="2" t="str">
        <x:v>P0</x:v>
      </x:c>
      <x:c r="B3" s="2" t="n">
        <x:f>COUNTIF('01 Checklist UAT'!D:D,"P0")</x:f>
        <x:v>93</x:v>
      </x:c>
    </x:row>
    <x:row r="4" ht="40.5" customHeight="1">
      <x:c r="A4" s="2" t="str">
        <x:v>P1</x:v>
      </x:c>
      <x:c r="B4" s="2" t="n">
        <x:f>COUNTIF('01 Checklist UAT'!D:D,"P1")</x:f>
        <x:v>36</x:v>
      </x:c>
    </x:row>
    <x:row r="5" ht="40.5" customHeight="1">
      <x:c r="A5" s="2" t="str">
        <x:v>P2</x:v>
      </x:c>
      <x:c r="B5" s="2" t="n">
        <x:f>COUNTIF('01 Checklist UAT'!D:D,"P2")</x:f>
        <x:v>2</x:v>
      </x:c>
    </x:row>
    <x:row r="6" ht="40.5" customHeight="1">
      <x:c r="A6" s="2" t="str">
        <x:v>Sesuai</x:v>
      </x:c>
      <x:c r="B6" s="2" t="n">
        <x:f>COUNTIF('01 Checklist UAT'!I:I,"Sesuai")</x:f>
        <x:v>0</x:v>
      </x:c>
    </x:row>
    <x:row r="7" ht="40.5" customHeight="1">
      <x:c r="A7" s="2" t="str">
        <x:v>Ada Bug</x:v>
      </x:c>
      <x:c r="B7" s="2" t="n">
        <x:f>COUNTIF('01 Checklist UAT'!I:I,"Ada Bug")</x:f>
        <x:v>0</x:v>
      </x:c>
    </x:row>
    <x:row r="8" ht="40.5" customHeight="1">
      <x:c r="A8" s="2" t="str">
        <x:v>Blocked</x:v>
      </x:c>
      <x:c r="B8" s="2" t="n">
        <x:f>COUNTIF('01 Checklist UAT'!I:I,"Blocked")</x:f>
        <x:v>0</x:v>
      </x:c>
    </x:row>
    <x:row r="9" ht="40.5" customHeight="1">
      <x:c r="A9" s="2" t="str">
        <x:v>N/A</x:v>
      </x:c>
      <x:c r="B9" s="2" t="n">
        <x:f>COUNTIF('01 Checklist UAT'!I:I,"N/A")</x:f>
        <x:v>0</x:v>
      </x:c>
    </x:row>
    <x:row r="10" ht="40.5" customHeight="1">
      <x:c r="A10" s="2" t="str">
        <x:v>Belum Dites</x:v>
      </x:c>
      <x:c r="B10" s="2" t="n">
        <x:f>COUNTIF('01 Checklist UAT'!I:I,"Belum Dites")</x:f>
        <x:v>131</x:v>
      </x:c>
    </x:row>
    <x:row r="11" ht="40.5" customHeight="1">
      <x:c r="A11" s="2" t="str">
        <x:v>Pass Rate</x:v>
      </x:c>
      <x:c r="B11" s="6" t="n">
        <x:f>IF(B2=0,"",B6/B2)</x:f>
        <x:v>0</x:v>
      </x:c>
    </x:row>
    <x:row r="12" ht="40.5" customHeight="1">
      <x:c r="A12" s="2" t="str">
        <x:v>Catatan</x:v>
      </x:c>
      <x:c r="B12" s="2" t="str">
        <x:v>Isi detail bug langsung di sheet 01 Checklist UAT pada kolom Bug / Ketidaksesuaian.</x:v>
      </x:c>
    </x:row>
  </x:sheetData>
  <x:pageMargins left="0.7" right="0.7" top="0.75" bottom="0.75" header="0.3" footer="0.3"/>
  <x:tableParts count="1">
    <x:tablePart xmlns:r="http://schemas.openxmlformats.org/officeDocument/2006/relationships" r:id="R872912361fb745b4"/>
  </x:tableParts>
</x:worksheet>
</file>