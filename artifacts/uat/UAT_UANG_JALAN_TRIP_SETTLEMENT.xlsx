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Panduan" state="visible" r:id="rId4"/>
    <sheet sheetId="2" name="01 Data Uji" state="visible" r:id="rId5"/>
    <sheet sheetId="3" name="02 Checklist UAT" state="visible" r:id="rId6"/>
    <sheet sheetId="4" name="03 Ringkasan" state="visible" r:id="rId7"/>
  </sheets>
  <calcPr calcId="171027"/>
</workbook>
</file>

<file path=xl/sharedStrings.xml><?xml version="1.0" encoding="utf-8"?>
<sst xmlns="http://schemas.openxmlformats.org/spreadsheetml/2006/main" count="361" uniqueCount="201">
  <si>
    <t>UAT Uang Jalan Trip - Total Biaya dan Bon Ketiga Penutupan</t>
  </si>
  <si>
    <t>Dipakai tester untuk validasi label, rumus, modal penyelesaian, print, dan konsistensi lintas modul.</t>
  </si>
  <si>
    <t>Item</t>
  </si>
  <si>
    <t>Detail</t>
  </si>
  <si>
    <t>Dokumen referensi</t>
  </si>
  <si>
    <t>docs/UAT_UANG_JALAN_TRIP_SETTLEMENT.md</t>
  </si>
  <si>
    <t>Build/commit acuan</t>
  </si>
  <si>
    <t>dc65a69 - Update driver voucher settlement labels</t>
  </si>
  <si>
    <t>Akun owner</t>
  </si>
  <si>
    <t>owner@company.local / owner12345</t>
  </si>
  <si>
    <t>Akun operasional</t>
  </si>
  <si>
    <t>admin@company.local / admin12345</t>
  </si>
  <si>
    <t>Akun finance</t>
  </si>
  <si>
    <t>finance@company.local / admin12345</t>
  </si>
  <si>
    <t>Cara mulai</t>
  </si>
  <si>
    <t>Pull main terbaru, jalankan npm run typecheck, npm run lint, npm run build, lalu buka Web Admin &gt; Uang Jalan Trip.</t>
  </si>
  <si>
    <t>Aturan test visual</t>
  </si>
  <si>
    <t>Untuk test yang tidak boleh mengubah data, buka modal Selesaikan Trip tetapi jangan klik tombol final.</t>
  </si>
  <si>
    <t>Aturan test mutasi</t>
  </si>
  <si>
    <t>Untuk test submit penyelesaian, wajib memakai data dummy/staging dan cek ulang Rekening &amp; Kas, Jurnal Umum, laporan, trip detail, dan profil driver.</t>
  </si>
  <si>
    <t>Exit criteria</t>
  </si>
  <si>
    <t>Semua P0 harus Sesuai, tidak ada mismatch uang/jurnal/kas, dan istilah lama Sisa Bon Operasional serta Bon Ke-4/Bon Ke-5 tidak muncul.</t>
  </si>
  <si>
    <t>Total Uang Diberikan</t>
  </si>
  <si>
    <t>Total Biaya</t>
  </si>
  <si>
    <t>Bon Ketiga Penutupan</t>
  </si>
  <si>
    <t>Sisa/Pengembalian Aktual</t>
  </si>
  <si>
    <t>Expected Output</t>
  </si>
  <si>
    <t>Isi nilai sesuai staging/local. Kolom expected membantu tester mengecek perhitungan manual.</t>
  </si>
  <si>
    <t>Kode</t>
  </si>
  <si>
    <t>Kondisi</t>
  </si>
  <si>
    <t>Bon 1</t>
  </si>
  <si>
    <t>Bon 2</t>
  </si>
  <si>
    <t>Bon 3 Tercatat</t>
  </si>
  <si>
    <t>Biaya Lain-lain</t>
  </si>
  <si>
    <t>Upah Borongan</t>
  </si>
  <si>
    <t>DATA-A</t>
  </si>
  <si>
    <t>Total biaya lebih besar, sudah ada Bon Ketiga tercatat</t>
  </si>
  <si>
    <t>Total Biaya Rp4.200.000, Bon Ketiga Penutupan Rp200.000, sisa dicairkan Rp100.000.</t>
  </si>
  <si>
    <t>DATA-B</t>
  </si>
  <si>
    <t>Total biaya lebih besar, belum ada Bon Ketiga tercatat</t>
  </si>
  <si>
    <t>Total Biaya Rp4.200.000, Bon Ketiga Penutupan Rp200.000, sisa dicairkan Rp200.000.</t>
  </si>
  <si>
    <t>DATA-C</t>
  </si>
  <si>
    <t>Uang diberikan lebih besar dari total biaya</t>
  </si>
  <si>
    <t>Pengembalian Sisa Bon Rp800.000. Tidak memakai Bon Ketiga Penutupan sebagai action utama.</t>
  </si>
  <si>
    <t>DATA-D</t>
  </si>
  <si>
    <t>Uang diberikan sama dengan total biaya</t>
  </si>
  <si>
    <t>Tidak ada selisih bayar/kembali. Rekening/kas tidak wajib bila balance 0.</t>
  </si>
  <si>
    <t>DATA-E</t>
  </si>
  <si>
    <t>DO belum punya final aktual/overtonase final</t>
  </si>
  <si>
    <t>UI tidak crash; teks menunggu aktual final tetap mengikuti workflow existing.</t>
  </si>
  <si>
    <t>Hasil</t>
  </si>
  <si>
    <t>Bug / Ketidaksesuaian</t>
  </si>
  <si>
    <t>Evidence</t>
  </si>
  <si>
    <t>Tester</t>
  </si>
  <si>
    <t>Tanggal</t>
  </si>
  <si>
    <t>Pilih Hasil: Sesuai, Ada Bug, Blocked, N/A. Isi bug/evidence bila tidak sesuai.</t>
  </si>
  <si>
    <t>ID</t>
  </si>
  <si>
    <t>Prioritas</t>
  </si>
  <si>
    <t>Modul</t>
  </si>
  <si>
    <t>Skenario</t>
  </si>
  <si>
    <t>Data Uji</t>
  </si>
  <si>
    <t>Cara Test Detail</t>
  </si>
  <si>
    <t>Output yang Diharapkan</t>
  </si>
  <si>
    <t>UJT-01</t>
  </si>
  <si>
    <t>P0</t>
  </si>
  <si>
    <t>Pull &amp; build</t>
  </si>
  <si>
    <t>Pastikan branch terbaru sebelum test</t>
  </si>
  <si>
    <t>Repo lokal</t>
  </si>
  <si>
    <t>Jalankan git pull --ff-only origin main, npm run typecheck, npm run lint, npm run build.</t>
  </si>
  <si>
    <t>Pull sukses/up to date. Typecheck dan build sukses. Lint 0 error; warning unused boleh dicatat bila tidak terkait perubahan.</t>
  </si>
  <si>
    <t>Belum Dites</t>
  </si>
  <si>
    <t/>
  </si>
  <si>
    <t>UJT-02</t>
  </si>
  <si>
    <t>Detail Uang Jalan</t>
  </si>
  <si>
    <t>Ringkasan DATA-A menampilkan angka client</t>
  </si>
  <si>
    <t>Buka Uang Jalan Trip &gt; Detail. Cocokkan kartu ringkasan bagian atas.</t>
  </si>
  <si>
    <t>Tampil Total Uang Diberikan Rp4.100.000, Biaya Lain-lain Rp100.000, Total Biaya Rp4.200.000, Upah Borongan Rp4.100.000, Bon Ketiga Penutupan Rp200.000.</t>
  </si>
  <si>
    <t>UJT-03</t>
  </si>
  <si>
    <t>Label lama tidak muncul</t>
  </si>
  <si>
    <t>Di halaman detail, cari teks tampilan secara visual atau browser find.</t>
  </si>
  <si>
    <t>Tidak ada Sisa Bon Operasional. Tidak ada Bon Ke-4 atau Bon Ke-5.</t>
  </si>
  <si>
    <t>UJT-04</t>
  </si>
  <si>
    <t>Penjelasan Bon Ketiga jelas</t>
  </si>
  <si>
    <t>Baca deskripsi di bawah kartu Bon Ketiga Penutupan.</t>
  </si>
  <si>
    <t>Teks menjelaskan total biaya dikurangi Bon Pertama dan Bon Kedua. Jika sudah ada bon penutup: tampil sisa dicairkan saat penutupan Rp100.000.</t>
  </si>
  <si>
    <t>UJT-05</t>
  </si>
  <si>
    <t>Modal Selesaikan Trip</t>
  </si>
  <si>
    <t>Ringkasan modal tidak dobel/salah label</t>
  </si>
  <si>
    <t>Klik Selesaikan Trip, jangan submit. Lihat ringkasan paling atas modal.</t>
  </si>
  <si>
    <t>Modal menampilkan Total Uang Diberikan, Biaya Lain-lain, Total Biaya, Bon Ketiga Penutupan. Tidak ada label dobel Total Biaya.</t>
  </si>
  <si>
    <t>UJT-06</t>
  </si>
  <si>
    <t>Rekening/kas wajib saat ada selisih</t>
  </si>
  <si>
    <t>Di modal, kosongkan rekening/kas lalu klik tombol final pada data dummy.</t>
  </si>
  <si>
    <t>Sistem menolak dan menampilkan warning pilih rekening penyelesaian. Data voucher tidak berubah.</t>
  </si>
  <si>
    <t>UJT-07</t>
  </si>
  <si>
    <t>Submit penutupan membayar sisa yang benar</t>
  </si>
  <si>
    <t>DATA-A dummy</t>
  </si>
  <si>
    <t>Pilih rekening/kas, klik Selesaikan &amp; Catat Bon Penutupan.</t>
  </si>
  <si>
    <t>Voucher selesai. Transaksi kas/bank untuk pencairan penutupan adalah sisa Rp100.000, bukan Rp200.000 dobel.</t>
  </si>
  <si>
    <t>UJT-08</t>
  </si>
  <si>
    <t>Kasus belum ada Bon Ketiga tercatat</t>
  </si>
  <si>
    <t>Buka modal penyelesaian.</t>
  </si>
  <si>
    <t>Bon Ketiga Penutupan Rp200.000. Jika ada baris sisa dicairkan, nilainya tetap Rp200.000.</t>
  </si>
  <si>
    <t>UJT-09</t>
  </si>
  <si>
    <t>Kasus uang driver harus dikembalikan</t>
  </si>
  <si>
    <t>Buka detail dan modal penyelesaian.</t>
  </si>
  <si>
    <t>Label Pengembalian Sisa Bon Rp800.000. Tidak tampil Bon Ketiga Penutupan sebagai action utama.</t>
  </si>
  <si>
    <t>UJT-10</t>
  </si>
  <si>
    <t>Kasus tidak ada selisih</t>
  </si>
  <si>
    <t>Tidak ada selisih yang perlu dibayar/dikembalikan. Rekening/kas tidak wajib bila balance 0.</t>
  </si>
  <si>
    <t>UJT-11</t>
  </si>
  <si>
    <t>List Uang Jalan Trip</t>
  </si>
  <si>
    <t>Kolom list memakai Total Biaya</t>
  </si>
  <si>
    <t>DATA-A/B/C</t>
  </si>
  <si>
    <t>Buka Uang Jalan Trip, cari voucher.</t>
  </si>
  <si>
    <t>List menampilkan Total Biaya. Tidak ada kolom Sisa Bon Operasional. Angka list sama dengan detail.</t>
  </si>
  <si>
    <t>UJT-12</t>
  </si>
  <si>
    <t>Print Uang Jalan</t>
  </si>
  <si>
    <t>Print ringkasan sesuai istilah baru</t>
  </si>
  <si>
    <t>Di detail voucher, klik Print, lihat preview.</t>
  </si>
  <si>
    <t>Print menampilkan Total Biaya, Biaya Lain-lain, Bon Ketiga Penutupan, dan sisa dicairkan bila relevan. Tidak ada Sisa Bon Operasional/Bon Ke-4.</t>
  </si>
  <si>
    <t>UJT-13</t>
  </si>
  <si>
    <t>Trip Detail</t>
  </si>
  <si>
    <t>Kartu uang jalan di detail trip konsisten</t>
  </si>
  <si>
    <t>Buka DO/trip terkait voucher, cek section uang jalan/linked voucher.</t>
  </si>
  <si>
    <t>Angka Total Biaya, Bon Ketiga Penutupan, dan sisa dicairkan sama dengan halaman Uang Jalan Trip.</t>
  </si>
  <si>
    <t>UJT-14</t>
  </si>
  <si>
    <t>Driver Portal</t>
  </si>
  <si>
    <t>Tampilan driver tidak mismatch</t>
  </si>
  <si>
    <t>Voucher terkait driver test</t>
  </si>
  <si>
    <t>Login portal driver, buka trip/uang jalan terkait.</t>
  </si>
  <si>
    <t>Driver melihat Total Biaya dan angka yang sama dengan admin. Tidak ada label lama.</t>
  </si>
  <si>
    <t>UJT-15</t>
  </si>
  <si>
    <t>Laporan Keuangan</t>
  </si>
  <si>
    <t>Laporan tidak memakai istilah lama</t>
  </si>
  <si>
    <t>Data voucher selesai/belum selesai</t>
  </si>
  <si>
    <t>Buka Laporan Keuangan dan laporan yang memuat uang jalan.</t>
  </si>
  <si>
    <t>Tampilan laporan memakai Total Biaya bila konteks uang jalan muncul. Angka tidak berubah dari sumber voucher.</t>
  </si>
  <si>
    <t>UJT-16</t>
  </si>
  <si>
    <t>Profil Driver</t>
  </si>
  <si>
    <t>Riwayat uang jalan driver konsisten</t>
  </si>
  <si>
    <t>Driver pemilik DATA-A</t>
  </si>
  <si>
    <t>Buka Fleet &gt; Supir &gt; Detail, cek riwayat uang jalan.</t>
  </si>
  <si>
    <t>Total biaya dan penyelesaian sama dengan detail voucher. Tidak ada Sisa Bon Operasional.</t>
  </si>
  <si>
    <t>UJT-17</t>
  </si>
  <si>
    <t>P1</t>
  </si>
  <si>
    <t>Tambah Uang Jalan</t>
  </si>
  <si>
    <t>Top-up sebelum penyelesaian tidak mengubah rumus salah</t>
  </si>
  <si>
    <t>Tambahkan Bon Ketiga Rp100.000 pada voucher dummy, lalu buka detail dan modal.</t>
  </si>
  <si>
    <t>Total Uang Diberikan naik. Bon Ketiga Penutupan tetap dihitung dari Total Biaya - Bon 1 - Bon 2. Sisa dicairkan turun sesuai top-up.</t>
  </si>
  <si>
    <t>UJT-18</t>
  </si>
  <si>
    <t>Edit Biaya Lain-lain</t>
  </si>
  <si>
    <t>Perubahan biaya lain-lain langsung mengubah total biaya</t>
  </si>
  <si>
    <t>Voucher dummy</t>
  </si>
  <si>
    <t>Tambah/edit/hapus biaya lain-lain, refresh detail.</t>
  </si>
  <si>
    <t>Biaya Lain-lain berubah sesuai item. Total Biaya dan nilai penutupan ikut berubah tanpa edit manual.</t>
  </si>
  <si>
    <t>UJT-19</t>
  </si>
  <si>
    <t>Aktual DO/Overtonase</t>
  </si>
  <si>
    <t>Upah borongan berubah karena final aktual</t>
  </si>
  <si>
    <t>Voucher terkait DO</t>
  </si>
  <si>
    <t>Ubah/approve final aktual DO sesuai workflow, lalu buka voucher.</t>
  </si>
  <si>
    <t>Upah Borongan dan Total Biaya mengikuti final DO. Tidak ada mismatch dengan detail DO.</t>
  </si>
  <si>
    <t>UJT-20</t>
  </si>
  <si>
    <t>Hak akses</t>
  </si>
  <si>
    <t>Role non-finance/non-owner tidak bisa memaksa penyelesaian</t>
  </si>
  <si>
    <t>Login role terbatas</t>
  </si>
  <si>
    <t>Login role yang tidak punya hak settle, buka detail voucher.</t>
  </si>
  <si>
    <t>Action yang tidak sesuai role tidak tersedia atau request ditolak. Tampilan angka tetap sesuai permission existing.</t>
  </si>
  <si>
    <t>UJT-21</t>
  </si>
  <si>
    <t>API/Data integrity</t>
  </si>
  <si>
    <t>Data lama tetap terbaca</t>
  </si>
  <si>
    <t>Voucher lama selesai</t>
  </si>
  <si>
    <t>Buka voucher yang sudah selesai sebelum perubahan.</t>
  </si>
  <si>
    <t>Halaman tidak error. Label baru tampil berdasarkan data lama. Tidak ada perubahan otomatis pada jurnal/transaksi lama.</t>
  </si>
  <si>
    <t>UJT-22</t>
  </si>
  <si>
    <t>Regression teks</t>
  </si>
  <si>
    <t>Tidak ada teks lama di build</t>
  </si>
  <si>
    <t>Source/build lokal</t>
  </si>
  <si>
    <t>Jalankan rg -n "Sisa Bon Operasional|Bon Ke-4|Bon Ke-5|Total Hak Trip|Total Klaim Trip" src.</t>
  </si>
  <si>
    <t>Command tidak menemukan match untuk istilah lama tersebut.</t>
  </si>
  <si>
    <t>Ringkasan Eksekusi UAT</t>
  </si>
  <si>
    <t>Formula otomatis membaca sheet Checklist UAT.</t>
  </si>
  <si>
    <t>Metric</t>
  </si>
  <si>
    <t>Nilai</t>
  </si>
  <si>
    <t>Keterangan</t>
  </si>
  <si>
    <t>Total Test Case</t>
  </si>
  <si>
    <t>Jumlah semua test case.</t>
  </si>
  <si>
    <t>Prioritas wajib pass.</t>
  </si>
  <si>
    <t>Prioritas pendukung/regression.</t>
  </si>
  <si>
    <t>Sesuai</t>
  </si>
  <si>
    <t>Test pass.</t>
  </si>
  <si>
    <t>Ada Bug</t>
  </si>
  <si>
    <t>Harus ada evidence dan langkah reproduce.</t>
  </si>
  <si>
    <t>Blocked</t>
  </si>
  <si>
    <t>Tidak bisa dites karena data/env/akses.</t>
  </si>
  <si>
    <t>N/A</t>
  </si>
  <si>
    <t>Tidak berlaku untuk scope build.</t>
  </si>
  <si>
    <t>Sisa test belum dijalankan.</t>
  </si>
  <si>
    <t>Exit Criteria</t>
  </si>
  <si>
    <t>Semua P0 Sesuai</t>
  </si>
  <si>
    <t>Tidak ada bug Critical/High dan tidak ada mismatch uang/jurnal/kas.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</si>
</sst>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Rp #,##0;[Red]-Rp #,##0;Rp 0"/>
    <numFmt numFmtId="165" formatCode="dd/mm/yyyy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475569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6FFFB"/>
      </patternFill>
    </fill>
    <fill>
      <patternFill patternType="solid">
        <fgColor rgb="FF0F172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  <xf numFmtId="164" fontId="1" fillId="2" borderId="0" xfId="0" applyNumberFormat="1" applyFont="1" applyFill="1" applyAlignment="1">
      <alignment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vertical="top" wrapText="1"/>
    </xf>
    <xf numFmtId="165" fontId="3" fillId="4" borderId="1" xfId="0" applyNumberFormat="1" applyFont="1" applyFill="1" applyBorder="1" applyAlignment="1">
      <alignment vertical="top" wrapText="1"/>
    </xf>
    <xf numFmtId="165" fontId="0" fillId="5" borderId="1" xfId="0" applyNumberForma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90" customWidth="1"/>
    <col min="3" max="3" width="26" customWidth="1"/>
    <col min="4" max="4" width="28" customWidth="1"/>
    <col min="5" max="8" width="2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2" x14ac:dyDescent="0.25">
      <c r="A3" s="3" t="s">
        <v>2</v>
      </c>
      <c r="B3" s="3" t="s">
        <v>3</v>
      </c>
    </row>
    <row r="4" spans="1:2" x14ac:dyDescent="0.25">
      <c r="A4" s="4" t="s">
        <v>4</v>
      </c>
      <c r="B4" s="4" t="s">
        <v>5</v>
      </c>
    </row>
    <row r="5" spans="1:2" x14ac:dyDescent="0.25">
      <c r="A5" s="5" t="s">
        <v>6</v>
      </c>
      <c r="B5" s="5" t="s">
        <v>7</v>
      </c>
    </row>
    <row r="6" spans="1:2" x14ac:dyDescent="0.25">
      <c r="A6" s="4" t="s">
        <v>8</v>
      </c>
      <c r="B6" s="4" t="s">
        <v>9</v>
      </c>
    </row>
    <row r="7" spans="1:2" x14ac:dyDescent="0.25">
      <c r="A7" s="5" t="s">
        <v>10</v>
      </c>
      <c r="B7" s="5" t="s">
        <v>11</v>
      </c>
    </row>
    <row r="8" spans="1:2" x14ac:dyDescent="0.25">
      <c r="A8" s="4" t="s">
        <v>12</v>
      </c>
      <c r="B8" s="4" t="s">
        <v>13</v>
      </c>
    </row>
    <row r="9" spans="1:2" x14ac:dyDescent="0.25">
      <c r="A9" s="5" t="s">
        <v>14</v>
      </c>
      <c r="B9" s="5" t="s">
        <v>15</v>
      </c>
    </row>
    <row r="10" spans="1:2" x14ac:dyDescent="0.25">
      <c r="A10" s="4" t="s">
        <v>16</v>
      </c>
      <c r="B10" s="4" t="s">
        <v>17</v>
      </c>
    </row>
    <row r="11" spans="1:2" x14ac:dyDescent="0.25">
      <c r="A11" s="5" t="s">
        <v>18</v>
      </c>
      <c r="B11" s="5" t="s">
        <v>19</v>
      </c>
    </row>
    <row r="12" spans="1:2" x14ac:dyDescent="0.25">
      <c r="A12" s="4" t="s">
        <v>20</v>
      </c>
      <c r="B12" s="4" t="s">
        <v>21</v>
      </c>
    </row>
  </sheetData>
  <mergeCells count="2">
    <mergeCell ref="A1:H1"/>
    <mergeCell ref="A2:H2"/>
  </mergeCells>
  <pageMargins left="0.25" right="0.25" top="0.5" bottom="0.5" header="0.2" footer="0.2"/>
  <pageSetup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4" width="16" style="6" customWidth="1"/>
    <col min="5" max="7" width="18" style="6" customWidth="1"/>
    <col min="8" max="8" width="22" style="6" customWidth="1"/>
    <col min="9" max="9" width="18" style="6" customWidth="1"/>
    <col min="10" max="10" width="24" style="6" customWidth="1"/>
    <col min="11" max="11" width="26" style="6" customWidth="1"/>
    <col min="12" max="12" width="70" customWidth="1"/>
  </cols>
  <sheetData>
    <row r="1" ht="28" customHeight="1" spans="1:12" x14ac:dyDescent="0.25">
      <c r="A1" s="7" t="s">
        <v>22</v>
      </c>
      <c r="B1" s="7"/>
      <c r="C1" s="7"/>
      <c r="D1" s="7"/>
      <c r="E1" s="7"/>
      <c r="F1" s="7"/>
      <c r="G1" s="7"/>
      <c r="H1" s="7"/>
      <c r="I1" s="6" t="s">
        <v>23</v>
      </c>
      <c r="J1" s="6" t="s">
        <v>24</v>
      </c>
      <c r="K1" s="6" t="s">
        <v>25</v>
      </c>
      <c r="L1" t="s">
        <v>26</v>
      </c>
    </row>
    <row r="2" ht="24" customHeight="1" spans="1:11" x14ac:dyDescent="0.25">
      <c r="A2" s="8" t="s">
        <v>27</v>
      </c>
      <c r="B2" s="8"/>
      <c r="C2" s="8"/>
      <c r="D2" s="8"/>
      <c r="E2" s="8"/>
      <c r="F2" s="8"/>
      <c r="G2" s="8"/>
      <c r="H2" s="8"/>
      <c r="I2" s="6"/>
      <c r="J2" s="6"/>
      <c r="K2" s="6"/>
    </row>
    <row r="3" spans="1:12" x14ac:dyDescent="0.25">
      <c r="A3" s="4" t="s">
        <v>28</v>
      </c>
      <c r="B3" s="4" t="s">
        <v>29</v>
      </c>
      <c r="C3" s="9" t="s">
        <v>30</v>
      </c>
      <c r="D3" s="9" t="s">
        <v>31</v>
      </c>
      <c r="E3" s="9" t="s">
        <v>32</v>
      </c>
      <c r="F3" s="9" t="s">
        <v>33</v>
      </c>
      <c r="G3" s="9" t="s">
        <v>34</v>
      </c>
      <c r="H3" s="9" t="s">
        <v>22</v>
      </c>
      <c r="I3" s="9" t="s">
        <v>23</v>
      </c>
      <c r="J3" s="9" t="s">
        <v>24</v>
      </c>
      <c r="K3" s="9" t="s">
        <v>25</v>
      </c>
      <c r="L3" s="4" t="s">
        <v>26</v>
      </c>
    </row>
    <row r="4" spans="1:12" x14ac:dyDescent="0.25">
      <c r="A4" s="5" t="s">
        <v>35</v>
      </c>
      <c r="B4" s="5" t="s">
        <v>36</v>
      </c>
      <c r="C4" s="6">
        <v>1000000</v>
      </c>
      <c r="D4" s="6">
        <v>3000000</v>
      </c>
      <c r="E4" s="6">
        <v>100000</v>
      </c>
      <c r="F4" s="6">
        <v>100000</v>
      </c>
      <c r="G4" s="6">
        <v>4100000</v>
      </c>
      <c r="H4" s="6">
        <f>C4+D4+E4</f>
      </c>
      <c r="I4" s="6">
        <f>F4+G4</f>
      </c>
      <c r="J4" s="6">
        <f>I4-C4-D4</f>
      </c>
      <c r="K4" s="6">
        <f>I4-H4</f>
      </c>
      <c r="L4" s="5" t="s">
        <v>37</v>
      </c>
    </row>
    <row r="5" spans="1:12" x14ac:dyDescent="0.25">
      <c r="A5" s="4" t="s">
        <v>38</v>
      </c>
      <c r="B5" s="4" t="s">
        <v>39</v>
      </c>
      <c r="C5" s="9">
        <v>1000000</v>
      </c>
      <c r="D5" s="9">
        <v>3000000</v>
      </c>
      <c r="E5" s="9">
        <v>0</v>
      </c>
      <c r="F5" s="9">
        <v>100000</v>
      </c>
      <c r="G5" s="9">
        <v>4100000</v>
      </c>
      <c r="H5" s="9">
        <f>C5+D5+E5</f>
      </c>
      <c r="I5" s="9">
        <f>F5+G5</f>
      </c>
      <c r="J5" s="9">
        <f>I5-C5-D5</f>
      </c>
      <c r="K5" s="9">
        <f>I5-H5</f>
      </c>
      <c r="L5" s="4" t="s">
        <v>40</v>
      </c>
    </row>
    <row r="6" spans="1:12" x14ac:dyDescent="0.25">
      <c r="A6" s="5" t="s">
        <v>41</v>
      </c>
      <c r="B6" s="5" t="s">
        <v>42</v>
      </c>
      <c r="C6" s="6">
        <v>2000000</v>
      </c>
      <c r="D6" s="6">
        <v>3000000</v>
      </c>
      <c r="E6" s="6">
        <v>0</v>
      </c>
      <c r="F6" s="6">
        <v>100000</v>
      </c>
      <c r="G6" s="6">
        <v>4100000</v>
      </c>
      <c r="H6" s="6">
        <f>C6+D6+E6</f>
      </c>
      <c r="I6" s="6">
        <f>F6+G6</f>
      </c>
      <c r="J6" s="6">
        <f>I6-C6-D6</f>
      </c>
      <c r="K6" s="6">
        <f>H6-I6</f>
      </c>
      <c r="L6" s="5" t="s">
        <v>43</v>
      </c>
    </row>
    <row r="7" spans="1:12" x14ac:dyDescent="0.25">
      <c r="A7" s="4" t="s">
        <v>44</v>
      </c>
      <c r="B7" s="4" t="s">
        <v>45</v>
      </c>
      <c r="C7" s="9">
        <v>1200000</v>
      </c>
      <c r="D7" s="9">
        <v>3000000</v>
      </c>
      <c r="E7" s="9">
        <v>0</v>
      </c>
      <c r="F7" s="9">
        <v>100000</v>
      </c>
      <c r="G7" s="9">
        <v>4100000</v>
      </c>
      <c r="H7" s="9">
        <f>C7+D7+E7</f>
      </c>
      <c r="I7" s="9">
        <f>F7+G7</f>
      </c>
      <c r="J7" s="9">
        <f>I7-C7-D7</f>
      </c>
      <c r="K7" s="9">
        <f>I7-H7</f>
      </c>
      <c r="L7" s="4" t="s">
        <v>46</v>
      </c>
    </row>
    <row r="8" spans="1:12" x14ac:dyDescent="0.25">
      <c r="A8" s="5" t="s">
        <v>47</v>
      </c>
      <c r="B8" s="5" t="s">
        <v>48</v>
      </c>
      <c r="C8" s="6"/>
      <c r="D8" s="6"/>
      <c r="E8" s="6"/>
      <c r="F8" s="6"/>
      <c r="G8" s="6"/>
      <c r="H8" s="6"/>
      <c r="I8" s="6"/>
      <c r="J8" s="6"/>
      <c r="K8" s="6"/>
      <c r="L8" s="5" t="s">
        <v>49</v>
      </c>
    </row>
  </sheetData>
  <autoFilter ref="A3:L8"/>
  <mergeCells count="2">
    <mergeCell ref="A1:H1"/>
    <mergeCell ref="A2:H2"/>
  </mergeCells>
  <pageMargins left="0.25" right="0.25" top="0.5" bottom="0.5" header="0.2" footer="0.2"/>
  <pageSetup orientation="landscape" horizontalDpi="4294967295" verticalDpi="4294967295" scale="10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5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22" customWidth="1"/>
    <col min="4" max="4" width="42" customWidth="1"/>
    <col min="5" max="5" width="18" customWidth="1"/>
    <col min="6" max="6" width="78" customWidth="1"/>
    <col min="7" max="7" width="82" customWidth="1"/>
    <col min="8" max="8" width="16" customWidth="1"/>
    <col min="9" max="9" width="42" customWidth="1"/>
    <col min="10" max="10" width="28" customWidth="1"/>
    <col min="11" max="11" width="18" customWidth="1"/>
    <col min="12" max="12" width="16" customWidth="1"/>
  </cols>
  <sheetData>
    <row r="1" ht="28" customHeight="1" spans="1:12" x14ac:dyDescent="0.25">
      <c r="A1" s="1" t="s">
        <v>50</v>
      </c>
      <c r="B1" s="1"/>
      <c r="C1" s="1"/>
      <c r="D1" s="1"/>
      <c r="E1" s="1"/>
      <c r="F1" s="1"/>
      <c r="G1" s="1"/>
      <c r="H1" s="1"/>
      <c r="I1" t="s">
        <v>51</v>
      </c>
      <c r="J1" t="s">
        <v>52</v>
      </c>
      <c r="K1" t="s">
        <v>53</v>
      </c>
      <c r="L1" t="s">
        <v>54</v>
      </c>
    </row>
    <row r="2" ht="24" customHeight="1" spans="1:8" x14ac:dyDescent="0.25">
      <c r="A2" s="2" t="s">
        <v>55</v>
      </c>
      <c r="B2" s="2"/>
      <c r="C2" s="2"/>
      <c r="D2" s="2"/>
      <c r="E2" s="2"/>
      <c r="F2" s="2"/>
      <c r="G2" s="2"/>
      <c r="H2" s="2"/>
    </row>
    <row r="3" spans="1:12" x14ac:dyDescent="0.25">
      <c r="A3" s="4" t="s">
        <v>56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62</v>
      </c>
      <c r="H3" s="4" t="s">
        <v>50</v>
      </c>
      <c r="I3" s="4" t="s">
        <v>51</v>
      </c>
      <c r="J3" s="4" t="s">
        <v>52</v>
      </c>
      <c r="K3" s="4" t="s">
        <v>53</v>
      </c>
      <c r="L3" s="10" t="s">
        <v>54</v>
      </c>
    </row>
    <row r="4" spans="1:12" x14ac:dyDescent="0.25">
      <c r="A4" s="5" t="s">
        <v>63</v>
      </c>
      <c r="B4" s="5" t="s">
        <v>64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69</v>
      </c>
      <c r="H4" s="5" t="s">
        <v>70</v>
      </c>
      <c r="I4" s="5" t="s">
        <v>71</v>
      </c>
      <c r="J4" s="5" t="s">
        <v>71</v>
      </c>
      <c r="K4" s="5" t="s">
        <v>71</v>
      </c>
      <c r="L4" s="11" t="s">
        <v>71</v>
      </c>
    </row>
    <row r="5" spans="1:12" x14ac:dyDescent="0.25">
      <c r="A5" s="4" t="s">
        <v>72</v>
      </c>
      <c r="B5" s="4" t="s">
        <v>64</v>
      </c>
      <c r="C5" s="4" t="s">
        <v>73</v>
      </c>
      <c r="D5" s="4" t="s">
        <v>74</v>
      </c>
      <c r="E5" s="4" t="s">
        <v>35</v>
      </c>
      <c r="F5" s="4" t="s">
        <v>75</v>
      </c>
      <c r="G5" s="4" t="s">
        <v>76</v>
      </c>
      <c r="H5" s="4" t="s">
        <v>70</v>
      </c>
      <c r="I5" s="4" t="s">
        <v>71</v>
      </c>
      <c r="J5" s="4" t="s">
        <v>71</v>
      </c>
      <c r="K5" s="4" t="s">
        <v>71</v>
      </c>
      <c r="L5" s="10" t="s">
        <v>71</v>
      </c>
    </row>
    <row r="6" spans="1:12" x14ac:dyDescent="0.25">
      <c r="A6" s="5" t="s">
        <v>77</v>
      </c>
      <c r="B6" s="5" t="s">
        <v>64</v>
      </c>
      <c r="C6" s="5" t="s">
        <v>73</v>
      </c>
      <c r="D6" s="5" t="s">
        <v>78</v>
      </c>
      <c r="E6" s="5" t="s">
        <v>35</v>
      </c>
      <c r="F6" s="5" t="s">
        <v>79</v>
      </c>
      <c r="G6" s="5" t="s">
        <v>80</v>
      </c>
      <c r="H6" s="5" t="s">
        <v>70</v>
      </c>
      <c r="I6" s="5" t="s">
        <v>71</v>
      </c>
      <c r="J6" s="5" t="s">
        <v>71</v>
      </c>
      <c r="K6" s="5" t="s">
        <v>71</v>
      </c>
      <c r="L6" s="11" t="s">
        <v>71</v>
      </c>
    </row>
    <row r="7" spans="1:12" x14ac:dyDescent="0.25">
      <c r="A7" s="4" t="s">
        <v>81</v>
      </c>
      <c r="B7" s="4" t="s">
        <v>64</v>
      </c>
      <c r="C7" s="4" t="s">
        <v>73</v>
      </c>
      <c r="D7" s="4" t="s">
        <v>82</v>
      </c>
      <c r="E7" s="4" t="s">
        <v>35</v>
      </c>
      <c r="F7" s="4" t="s">
        <v>83</v>
      </c>
      <c r="G7" s="4" t="s">
        <v>84</v>
      </c>
      <c r="H7" s="4" t="s">
        <v>70</v>
      </c>
      <c r="I7" s="4" t="s">
        <v>71</v>
      </c>
      <c r="J7" s="4" t="s">
        <v>71</v>
      </c>
      <c r="K7" s="4" t="s">
        <v>71</v>
      </c>
      <c r="L7" s="10" t="s">
        <v>71</v>
      </c>
    </row>
    <row r="8" spans="1:12" x14ac:dyDescent="0.25">
      <c r="A8" s="5" t="s">
        <v>85</v>
      </c>
      <c r="B8" s="5" t="s">
        <v>64</v>
      </c>
      <c r="C8" s="5" t="s">
        <v>86</v>
      </c>
      <c r="D8" s="5" t="s">
        <v>87</v>
      </c>
      <c r="E8" s="5" t="s">
        <v>35</v>
      </c>
      <c r="F8" s="5" t="s">
        <v>88</v>
      </c>
      <c r="G8" s="5" t="s">
        <v>89</v>
      </c>
      <c r="H8" s="5" t="s">
        <v>70</v>
      </c>
      <c r="I8" s="5" t="s">
        <v>71</v>
      </c>
      <c r="J8" s="5" t="s">
        <v>71</v>
      </c>
      <c r="K8" s="5" t="s">
        <v>71</v>
      </c>
      <c r="L8" s="11" t="s">
        <v>71</v>
      </c>
    </row>
    <row r="9" spans="1:12" x14ac:dyDescent="0.25">
      <c r="A9" s="4" t="s">
        <v>90</v>
      </c>
      <c r="B9" s="4" t="s">
        <v>64</v>
      </c>
      <c r="C9" s="4" t="s">
        <v>86</v>
      </c>
      <c r="D9" s="4" t="s">
        <v>91</v>
      </c>
      <c r="E9" s="4" t="s">
        <v>35</v>
      </c>
      <c r="F9" s="4" t="s">
        <v>92</v>
      </c>
      <c r="G9" s="4" t="s">
        <v>93</v>
      </c>
      <c r="H9" s="4" t="s">
        <v>70</v>
      </c>
      <c r="I9" s="4" t="s">
        <v>71</v>
      </c>
      <c r="J9" s="4" t="s">
        <v>71</v>
      </c>
      <c r="K9" s="4" t="s">
        <v>71</v>
      </c>
      <c r="L9" s="10" t="s">
        <v>71</v>
      </c>
    </row>
    <row r="10" spans="1:12" x14ac:dyDescent="0.25">
      <c r="A10" s="5" t="s">
        <v>94</v>
      </c>
      <c r="B10" s="5" t="s">
        <v>64</v>
      </c>
      <c r="C10" s="5" t="s">
        <v>86</v>
      </c>
      <c r="D10" s="5" t="s">
        <v>95</v>
      </c>
      <c r="E10" s="5" t="s">
        <v>96</v>
      </c>
      <c r="F10" s="5" t="s">
        <v>97</v>
      </c>
      <c r="G10" s="5" t="s">
        <v>98</v>
      </c>
      <c r="H10" s="5" t="s">
        <v>70</v>
      </c>
      <c r="I10" s="5" t="s">
        <v>71</v>
      </c>
      <c r="J10" s="5" t="s">
        <v>71</v>
      </c>
      <c r="K10" s="5" t="s">
        <v>71</v>
      </c>
      <c r="L10" s="11" t="s">
        <v>71</v>
      </c>
    </row>
    <row r="11" spans="1:12" x14ac:dyDescent="0.25">
      <c r="A11" s="4" t="s">
        <v>99</v>
      </c>
      <c r="B11" s="4" t="s">
        <v>64</v>
      </c>
      <c r="C11" s="4" t="s">
        <v>86</v>
      </c>
      <c r="D11" s="4" t="s">
        <v>100</v>
      </c>
      <c r="E11" s="4" t="s">
        <v>38</v>
      </c>
      <c r="F11" s="4" t="s">
        <v>101</v>
      </c>
      <c r="G11" s="4" t="s">
        <v>102</v>
      </c>
      <c r="H11" s="4" t="s">
        <v>70</v>
      </c>
      <c r="I11" s="4" t="s">
        <v>71</v>
      </c>
      <c r="J11" s="4" t="s">
        <v>71</v>
      </c>
      <c r="K11" s="4" t="s">
        <v>71</v>
      </c>
      <c r="L11" s="10" t="s">
        <v>71</v>
      </c>
    </row>
    <row r="12" spans="1:12" x14ac:dyDescent="0.25">
      <c r="A12" s="5" t="s">
        <v>103</v>
      </c>
      <c r="B12" s="5" t="s">
        <v>64</v>
      </c>
      <c r="C12" s="5" t="s">
        <v>86</v>
      </c>
      <c r="D12" s="5" t="s">
        <v>104</v>
      </c>
      <c r="E12" s="5" t="s">
        <v>41</v>
      </c>
      <c r="F12" s="5" t="s">
        <v>105</v>
      </c>
      <c r="G12" s="5" t="s">
        <v>106</v>
      </c>
      <c r="H12" s="5" t="s">
        <v>70</v>
      </c>
      <c r="I12" s="5" t="s">
        <v>71</v>
      </c>
      <c r="J12" s="5" t="s">
        <v>71</v>
      </c>
      <c r="K12" s="5" t="s">
        <v>71</v>
      </c>
      <c r="L12" s="11" t="s">
        <v>71</v>
      </c>
    </row>
    <row r="13" spans="1:12" x14ac:dyDescent="0.25">
      <c r="A13" s="4" t="s">
        <v>107</v>
      </c>
      <c r="B13" s="4" t="s">
        <v>64</v>
      </c>
      <c r="C13" s="4" t="s">
        <v>86</v>
      </c>
      <c r="D13" s="4" t="s">
        <v>108</v>
      </c>
      <c r="E13" s="4" t="s">
        <v>44</v>
      </c>
      <c r="F13" s="4" t="s">
        <v>105</v>
      </c>
      <c r="G13" s="4" t="s">
        <v>109</v>
      </c>
      <c r="H13" s="4" t="s">
        <v>70</v>
      </c>
      <c r="I13" s="4" t="s">
        <v>71</v>
      </c>
      <c r="J13" s="4" t="s">
        <v>71</v>
      </c>
      <c r="K13" s="4" t="s">
        <v>71</v>
      </c>
      <c r="L13" s="10" t="s">
        <v>71</v>
      </c>
    </row>
    <row r="14" spans="1:12" x14ac:dyDescent="0.25">
      <c r="A14" s="5" t="s">
        <v>110</v>
      </c>
      <c r="B14" s="5" t="s">
        <v>64</v>
      </c>
      <c r="C14" s="5" t="s">
        <v>111</v>
      </c>
      <c r="D14" s="5" t="s">
        <v>112</v>
      </c>
      <c r="E14" s="5" t="s">
        <v>113</v>
      </c>
      <c r="F14" s="5" t="s">
        <v>114</v>
      </c>
      <c r="G14" s="5" t="s">
        <v>115</v>
      </c>
      <c r="H14" s="5" t="s">
        <v>70</v>
      </c>
      <c r="I14" s="5" t="s">
        <v>71</v>
      </c>
      <c r="J14" s="5" t="s">
        <v>71</v>
      </c>
      <c r="K14" s="5" t="s">
        <v>71</v>
      </c>
      <c r="L14" s="11" t="s">
        <v>71</v>
      </c>
    </row>
    <row r="15" spans="1:12" x14ac:dyDescent="0.25">
      <c r="A15" s="4" t="s">
        <v>116</v>
      </c>
      <c r="B15" s="4" t="s">
        <v>64</v>
      </c>
      <c r="C15" s="4" t="s">
        <v>117</v>
      </c>
      <c r="D15" s="4" t="s">
        <v>118</v>
      </c>
      <c r="E15" s="4" t="s">
        <v>35</v>
      </c>
      <c r="F15" s="4" t="s">
        <v>119</v>
      </c>
      <c r="G15" s="4" t="s">
        <v>120</v>
      </c>
      <c r="H15" s="4" t="s">
        <v>70</v>
      </c>
      <c r="I15" s="4" t="s">
        <v>71</v>
      </c>
      <c r="J15" s="4" t="s">
        <v>71</v>
      </c>
      <c r="K15" s="4" t="s">
        <v>71</v>
      </c>
      <c r="L15" s="10" t="s">
        <v>71</v>
      </c>
    </row>
    <row r="16" spans="1:12" x14ac:dyDescent="0.25">
      <c r="A16" s="5" t="s">
        <v>121</v>
      </c>
      <c r="B16" s="5" t="s">
        <v>64</v>
      </c>
      <c r="C16" s="5" t="s">
        <v>122</v>
      </c>
      <c r="D16" s="5" t="s">
        <v>123</v>
      </c>
      <c r="E16" s="5" t="s">
        <v>35</v>
      </c>
      <c r="F16" s="5" t="s">
        <v>124</v>
      </c>
      <c r="G16" s="5" t="s">
        <v>125</v>
      </c>
      <c r="H16" s="5" t="s">
        <v>70</v>
      </c>
      <c r="I16" s="5" t="s">
        <v>71</v>
      </c>
      <c r="J16" s="5" t="s">
        <v>71</v>
      </c>
      <c r="K16" s="5" t="s">
        <v>71</v>
      </c>
      <c r="L16" s="11" t="s">
        <v>71</v>
      </c>
    </row>
    <row r="17" spans="1:12" x14ac:dyDescent="0.25">
      <c r="A17" s="4" t="s">
        <v>126</v>
      </c>
      <c r="B17" s="4" t="s">
        <v>64</v>
      </c>
      <c r="C17" s="4" t="s">
        <v>127</v>
      </c>
      <c r="D17" s="4" t="s">
        <v>128</v>
      </c>
      <c r="E17" s="4" t="s">
        <v>129</v>
      </c>
      <c r="F17" s="4" t="s">
        <v>130</v>
      </c>
      <c r="G17" s="4" t="s">
        <v>131</v>
      </c>
      <c r="H17" s="4" t="s">
        <v>70</v>
      </c>
      <c r="I17" s="4" t="s">
        <v>71</v>
      </c>
      <c r="J17" s="4" t="s">
        <v>71</v>
      </c>
      <c r="K17" s="4" t="s">
        <v>71</v>
      </c>
      <c r="L17" s="10" t="s">
        <v>71</v>
      </c>
    </row>
    <row r="18" spans="1:12" x14ac:dyDescent="0.25">
      <c r="A18" s="5" t="s">
        <v>132</v>
      </c>
      <c r="B18" s="5" t="s">
        <v>64</v>
      </c>
      <c r="C18" s="5" t="s">
        <v>133</v>
      </c>
      <c r="D18" s="5" t="s">
        <v>134</v>
      </c>
      <c r="E18" s="5" t="s">
        <v>135</v>
      </c>
      <c r="F18" s="5" t="s">
        <v>136</v>
      </c>
      <c r="G18" s="5" t="s">
        <v>137</v>
      </c>
      <c r="H18" s="5" t="s">
        <v>70</v>
      </c>
      <c r="I18" s="5" t="s">
        <v>71</v>
      </c>
      <c r="J18" s="5" t="s">
        <v>71</v>
      </c>
      <c r="K18" s="5" t="s">
        <v>71</v>
      </c>
      <c r="L18" s="11" t="s">
        <v>71</v>
      </c>
    </row>
    <row r="19" spans="1:12" x14ac:dyDescent="0.25">
      <c r="A19" s="4" t="s">
        <v>138</v>
      </c>
      <c r="B19" s="4" t="s">
        <v>64</v>
      </c>
      <c r="C19" s="4" t="s">
        <v>139</v>
      </c>
      <c r="D19" s="4" t="s">
        <v>140</v>
      </c>
      <c r="E19" s="4" t="s">
        <v>141</v>
      </c>
      <c r="F19" s="4" t="s">
        <v>142</v>
      </c>
      <c r="G19" s="4" t="s">
        <v>143</v>
      </c>
      <c r="H19" s="4" t="s">
        <v>70</v>
      </c>
      <c r="I19" s="4" t="s">
        <v>71</v>
      </c>
      <c r="J19" s="4" t="s">
        <v>71</v>
      </c>
      <c r="K19" s="4" t="s">
        <v>71</v>
      </c>
      <c r="L19" s="10" t="s">
        <v>71</v>
      </c>
    </row>
    <row r="20" spans="1:12" x14ac:dyDescent="0.25">
      <c r="A20" s="5" t="s">
        <v>144</v>
      </c>
      <c r="B20" s="5" t="s">
        <v>145</v>
      </c>
      <c r="C20" s="5" t="s">
        <v>146</v>
      </c>
      <c r="D20" s="5" t="s">
        <v>147</v>
      </c>
      <c r="E20" s="5" t="s">
        <v>38</v>
      </c>
      <c r="F20" s="5" t="s">
        <v>148</v>
      </c>
      <c r="G20" s="5" t="s">
        <v>149</v>
      </c>
      <c r="H20" s="5" t="s">
        <v>70</v>
      </c>
      <c r="I20" s="5" t="s">
        <v>71</v>
      </c>
      <c r="J20" s="5" t="s">
        <v>71</v>
      </c>
      <c r="K20" s="5" t="s">
        <v>71</v>
      </c>
      <c r="L20" s="11" t="s">
        <v>71</v>
      </c>
    </row>
    <row r="21" spans="1:12" x14ac:dyDescent="0.25">
      <c r="A21" s="4" t="s">
        <v>150</v>
      </c>
      <c r="B21" s="4" t="s">
        <v>145</v>
      </c>
      <c r="C21" s="4" t="s">
        <v>151</v>
      </c>
      <c r="D21" s="4" t="s">
        <v>152</v>
      </c>
      <c r="E21" s="4" t="s">
        <v>153</v>
      </c>
      <c r="F21" s="4" t="s">
        <v>154</v>
      </c>
      <c r="G21" s="4" t="s">
        <v>155</v>
      </c>
      <c r="H21" s="4" t="s">
        <v>70</v>
      </c>
      <c r="I21" s="4" t="s">
        <v>71</v>
      </c>
      <c r="J21" s="4" t="s">
        <v>71</v>
      </c>
      <c r="K21" s="4" t="s">
        <v>71</v>
      </c>
      <c r="L21" s="10" t="s">
        <v>71</v>
      </c>
    </row>
    <row r="22" spans="1:12" x14ac:dyDescent="0.25">
      <c r="A22" s="5" t="s">
        <v>156</v>
      </c>
      <c r="B22" s="5" t="s">
        <v>145</v>
      </c>
      <c r="C22" s="5" t="s">
        <v>157</v>
      </c>
      <c r="D22" s="5" t="s">
        <v>158</v>
      </c>
      <c r="E22" s="5" t="s">
        <v>159</v>
      </c>
      <c r="F22" s="5" t="s">
        <v>160</v>
      </c>
      <c r="G22" s="5" t="s">
        <v>161</v>
      </c>
      <c r="H22" s="5" t="s">
        <v>70</v>
      </c>
      <c r="I22" s="5" t="s">
        <v>71</v>
      </c>
      <c r="J22" s="5" t="s">
        <v>71</v>
      </c>
      <c r="K22" s="5" t="s">
        <v>71</v>
      </c>
      <c r="L22" s="11" t="s">
        <v>71</v>
      </c>
    </row>
    <row r="23" spans="1:12" x14ac:dyDescent="0.25">
      <c r="A23" s="4" t="s">
        <v>162</v>
      </c>
      <c r="B23" s="4" t="s">
        <v>145</v>
      </c>
      <c r="C23" s="4" t="s">
        <v>163</v>
      </c>
      <c r="D23" s="4" t="s">
        <v>164</v>
      </c>
      <c r="E23" s="4" t="s">
        <v>165</v>
      </c>
      <c r="F23" s="4" t="s">
        <v>166</v>
      </c>
      <c r="G23" s="4" t="s">
        <v>167</v>
      </c>
      <c r="H23" s="4" t="s">
        <v>70</v>
      </c>
      <c r="I23" s="4" t="s">
        <v>71</v>
      </c>
      <c r="J23" s="4" t="s">
        <v>71</v>
      </c>
      <c r="K23" s="4" t="s">
        <v>71</v>
      </c>
      <c r="L23" s="10" t="s">
        <v>71</v>
      </c>
    </row>
    <row r="24" spans="1:12" x14ac:dyDescent="0.25">
      <c r="A24" s="5" t="s">
        <v>168</v>
      </c>
      <c r="B24" s="5" t="s">
        <v>145</v>
      </c>
      <c r="C24" s="5" t="s">
        <v>169</v>
      </c>
      <c r="D24" s="5" t="s">
        <v>170</v>
      </c>
      <c r="E24" s="5" t="s">
        <v>171</v>
      </c>
      <c r="F24" s="5" t="s">
        <v>172</v>
      </c>
      <c r="G24" s="5" t="s">
        <v>173</v>
      </c>
      <c r="H24" s="5" t="s">
        <v>70</v>
      </c>
      <c r="I24" s="5" t="s">
        <v>71</v>
      </c>
      <c r="J24" s="5" t="s">
        <v>71</v>
      </c>
      <c r="K24" s="5" t="s">
        <v>71</v>
      </c>
      <c r="L24" s="11" t="s">
        <v>71</v>
      </c>
    </row>
    <row r="25" spans="1:12" x14ac:dyDescent="0.25">
      <c r="A25" s="12" t="s">
        <v>174</v>
      </c>
      <c r="B25" s="12" t="s">
        <v>145</v>
      </c>
      <c r="C25" s="12" t="s">
        <v>175</v>
      </c>
      <c r="D25" s="12" t="s">
        <v>176</v>
      </c>
      <c r="E25" s="12" t="s">
        <v>177</v>
      </c>
      <c r="F25" s="12" t="s">
        <v>178</v>
      </c>
      <c r="G25" s="12" t="s">
        <v>179</v>
      </c>
      <c r="H25" s="12" t="s">
        <v>70</v>
      </c>
      <c r="I25" s="12" t="s">
        <v>71</v>
      </c>
      <c r="J25" s="12" t="s">
        <v>71</v>
      </c>
      <c r="K25" s="12" t="s">
        <v>71</v>
      </c>
      <c r="L25" s="13" t="s">
        <v>71</v>
      </c>
    </row>
  </sheetData>
  <autoFilter ref="A3:L25"/>
  <mergeCells count="2">
    <mergeCell ref="A1:H1"/>
    <mergeCell ref="A2:H2"/>
  </mergeCells>
  <conditionalFormatting sqref="H4:H25">
    <cfRule type="containsText" dxfId="0" priority="1">
      <formula>NOT(ISERROR(SEARCH("Sesuai",H4)))</formula>
    </cfRule>
    <cfRule type="containsText" dxfId="1" priority="2">
      <formula>NOT(ISERROR(SEARCH("Ada Bug",H4)))</formula>
    </cfRule>
    <cfRule type="containsText" dxfId="2" priority="3">
      <formula>NOT(ISERROR(SEARCH("Blocked",H4)))</formula>
    </cfRule>
  </conditionalFormatting>
  <dataValidations count="2">
    <dataValidation type="list" sqref="H10:H25">
      <formula1>"Belum Dites,Sesuai,Ada Bug,Blocked,N/A"</formula1>
    </dataValidation>
    <dataValidation type="list" sqref="H4:H25">
      <formula1>"Belum Dites,Sesuai,Ada Bug,Blocked,N/A"</formula1>
    </dataValidation>
  </dataValidations>
  <pageMargins left="0.25" right="0.25" top="0.5" bottom="0.5" header="0.2" footer="0.2"/>
  <pageSetup orientation="landscape" horizontalDpi="4294967295" verticalDpi="4294967295" scale="100" fitToWidth="1" fitToHeight="0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50" customWidth="1"/>
    <col min="4" max="8" width="20" customWidth="1"/>
  </cols>
  <sheetData>
    <row r="1" ht="28" customHeight="1" spans="1:8" x14ac:dyDescent="0.25">
      <c r="A1" s="1" t="s">
        <v>180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181</v>
      </c>
      <c r="B2" s="2"/>
      <c r="C2" s="2"/>
      <c r="D2" s="2"/>
      <c r="E2" s="2"/>
      <c r="F2" s="2"/>
      <c r="G2" s="2"/>
      <c r="H2" s="2"/>
    </row>
    <row r="3" spans="1:3" x14ac:dyDescent="0.25">
      <c r="A3" s="3" t="s">
        <v>182</v>
      </c>
      <c r="B3" s="3" t="s">
        <v>183</v>
      </c>
      <c r="C3" s="3" t="s">
        <v>184</v>
      </c>
    </row>
    <row r="4" spans="1:3" x14ac:dyDescent="0.25">
      <c r="A4" s="4" t="s">
        <v>185</v>
      </c>
      <c r="B4" s="4">
        <f>COUNTA('02 Checklist UAT'!A4:A25)</f>
      </c>
      <c r="C4" s="4" t="s">
        <v>186</v>
      </c>
    </row>
    <row r="5" spans="1:3" x14ac:dyDescent="0.25">
      <c r="A5" s="5" t="s">
        <v>64</v>
      </c>
      <c r="B5" s="5">
        <f>COUNTIF('02 Checklist UAT'!B4:B25,"P0")</f>
      </c>
      <c r="C5" s="5" t="s">
        <v>187</v>
      </c>
    </row>
    <row r="6" spans="1:3" x14ac:dyDescent="0.25">
      <c r="A6" s="4" t="s">
        <v>145</v>
      </c>
      <c r="B6" s="4">
        <f>COUNTIF('02 Checklist UAT'!B4:B25,"P1")</f>
      </c>
      <c r="C6" s="4" t="s">
        <v>188</v>
      </c>
    </row>
    <row r="7" spans="1:3" x14ac:dyDescent="0.25">
      <c r="A7" s="5" t="s">
        <v>189</v>
      </c>
      <c r="B7" s="5">
        <f>COUNTIF('02 Checklist UAT'!H4:H25,"Sesuai")</f>
      </c>
      <c r="C7" s="5" t="s">
        <v>190</v>
      </c>
    </row>
    <row r="8" spans="1:3" x14ac:dyDescent="0.25">
      <c r="A8" s="4" t="s">
        <v>191</v>
      </c>
      <c r="B8" s="4">
        <f>COUNTIF('02 Checklist UAT'!H4:H25,"Ada Bug")</f>
      </c>
      <c r="C8" s="4" t="s">
        <v>192</v>
      </c>
    </row>
    <row r="9" spans="1:3" x14ac:dyDescent="0.25">
      <c r="A9" s="5" t="s">
        <v>193</v>
      </c>
      <c r="B9" s="5">
        <f>COUNTIF('02 Checklist UAT'!H4:H25,"Blocked")</f>
      </c>
      <c r="C9" s="5" t="s">
        <v>194</v>
      </c>
    </row>
    <row r="10" spans="1:3" x14ac:dyDescent="0.25">
      <c r="A10" s="4" t="s">
        <v>195</v>
      </c>
      <c r="B10" s="4">
        <f>COUNTIF('02 Checklist UAT'!H4:H25,"N/A")</f>
      </c>
      <c r="C10" s="4" t="s">
        <v>196</v>
      </c>
    </row>
    <row r="11" spans="1:3" x14ac:dyDescent="0.25">
      <c r="A11" s="5" t="s">
        <v>70</v>
      </c>
      <c r="B11" s="5">
        <f>COUNTIF('02 Checklist UAT'!H4:H25,"Belum Dites")</f>
      </c>
      <c r="C11" s="5" t="s">
        <v>197</v>
      </c>
    </row>
    <row r="12" spans="1:3" x14ac:dyDescent="0.25">
      <c r="A12" s="4" t="s">
        <v>198</v>
      </c>
      <c r="B12" s="4" t="s">
        <v>199</v>
      </c>
      <c r="C12" s="4" t="s">
        <v>200</v>
      </c>
    </row>
  </sheetData>
  <mergeCells count="2">
    <mergeCell ref="A1:H1"/>
    <mergeCell ref="A2:H2"/>
  </mergeCells>
  <pageMargins left="0.25" right="0.25" top="0.5" bottom="0.5" header="0.2" footer="0.2"/>
  <pageSetup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 Panduan</vt:lpstr>
      <vt:lpstr>01 Data Uji</vt:lpstr>
      <vt:lpstr>02 Checklist UAT</vt:lpstr>
      <vt:lpstr>03 Ringkasan</vt:lpstr>
    </vt:vector>
  </TitlesOfParts>
  <Company>PT Gading Mas Surya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UAT Uang Jalan Trip - Total Biaya dan Bon Ketiga Penutupan</dc:title>
  <dc:subject>UAT Uang Jalan Trip settlement labels and formulas</dc:subject>
  <dc:description/>
  <cp:keywords/>
  <cp:category/>
  <cp:lastModifiedBy>Codex</cp:lastModifiedBy>
  <dcterms:created xsi:type="dcterms:W3CDTF">2026-05-28T17:00:00Z</dcterms:created>
  <dcterms:modified xsi:type="dcterms:W3CDTF">2026-05-29T06:34:51Z</dcterms:modified>
</cp:coreProperties>
</file>