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76afcf68dc4d40" /></Relationships>
</file>

<file path=xl/workbook.xml><?xml version="1.0" encoding="utf-8"?>
<x:workbook xmlns:x="http://schemas.openxmlformats.org/spreadsheetml/2006/main">
  <x:sheets>
    <x:sheet xmlns:r="http://schemas.openxmlformats.org/officeDocument/2006/relationships" name="00 Ringkasan" sheetId="1" r:id="R8b1f6fd688334fd9"/>
    <x:sheet xmlns:r="http://schemas.openxmlformats.org/officeDocument/2006/relationships" name="01 Test Cases" sheetId="2" r:id="R179a93419d8b402e"/>
    <x:sheet xmlns:r="http://schemas.openxmlformats.org/officeDocument/2006/relationships" name="02 E2E Scenarios" sheetId="3" r:id="R4731d765d33740ba"/>
    <x:sheet xmlns:r="http://schemas.openxmlformats.org/officeDocument/2006/relationships" name="03 Role Matrix" sheetId="4" r:id="R17e3f8e6f6304d4f"/>
    <x:sheet xmlns:r="http://schemas.openxmlformats.org/officeDocument/2006/relationships" name="04 Defect Log" sheetId="5" r:id="R65e8ef09812440de"/>
    <x:sheet xmlns:r="http://schemas.openxmlformats.org/officeDocument/2006/relationships" name="05 Sign Off" sheetId="6" r:id="R3bc60e9d3fc44302"/>
    <x:sheet xmlns:r="http://schemas.openxmlformats.org/officeDocument/2006/relationships" name="06 Mobile Admin Detail" sheetId="7" r:id="Rae82e7ccc450485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b1cf1ee65848b0" /><Relationship Type="http://schemas.openxmlformats.org/officeDocument/2006/relationships/theme" Target="/xl/theme/theme1.xml" Id="R8d5389ed9046435f" /><Relationship Type="http://schemas.openxmlformats.org/officeDocument/2006/relationships/sharedStrings" Target="/xl/sharedStrings.xml" Id="R8fec77fa425f4eb1" /><Relationship Type="http://schemas.openxmlformats.org/officeDocument/2006/relationships/worksheet" Target="/xl/worksheets/sheet1.xml" Id="R8b1f6fd688334fd9" /><Relationship Type="http://schemas.openxmlformats.org/officeDocument/2006/relationships/worksheet" Target="/xl/worksheets/sheet2.xml" Id="R179a93419d8b402e" /><Relationship Type="http://schemas.openxmlformats.org/officeDocument/2006/relationships/worksheet" Target="/xl/worksheets/sheet3.xml" Id="R4731d765d33740ba" /><Relationship Type="http://schemas.openxmlformats.org/officeDocument/2006/relationships/worksheet" Target="/xl/worksheets/sheet4.xml" Id="R17e3f8e6f6304d4f" /><Relationship Type="http://schemas.openxmlformats.org/officeDocument/2006/relationships/worksheet" Target="/xl/worksheets/sheet5.xml" Id="R65e8ef09812440de" /><Relationship Type="http://schemas.openxmlformats.org/officeDocument/2006/relationships/worksheet" Target="/xl/worksheets/sheet6.xml" Id="R3bc60e9d3fc44302" /><Relationship Type="http://schemas.openxmlformats.org/officeDocument/2006/relationships/worksheet" Target="/xl/worksheets/sheet7.xml" Id="Rae82e7ccc450485e" /></Relationships>
</file>

<file path=xl/tables/table1.xml><?xml version="1.0" encoding="utf-8"?>
<x:table xmlns:x="http://schemas.openxmlformats.org/spreadsheetml/2006/main" id="1" name="UAT_Test_Cases" displayName="UAT_Test_Cases" ref="A1:R122" headerRowCount="1">
  <x:tableColumns count="18">
    <x:tableColumn id="1" name="Case ID"/>
    <x:tableColumn id="2" name="Module"/>
    <x:tableColumn id="3" name="Submodule"/>
    <x:tableColumn id="4" name="Priority"/>
    <x:tableColumn id="5" name="Type"/>
    <x:tableColumn id="6" name="Role"/>
    <x:tableColumn id="7" name="Scenario"/>
    <x:tableColumn id="8" name="Precondition"/>
    <x:tableColumn id="9" name="Steps"/>
    <x:tableColumn id="10" name="Expected Result"/>
    <x:tableColumn id="11" name="Test Data"/>
    <x:tableColumn id="12" name="Status"/>
    <x:tableColumn id="13" name="Actual Result"/>
    <x:tableColumn id="14" name="Evidence Link"/>
    <x:tableColumn id="15" name="Bug ID"/>
    <x:tableColumn id="16" name="Tester"/>
    <x:tableColumn id="17" name="Run Date"/>
    <x:tableColumn id="18" name="Notes"/>
  </x:tableColumns>
  <x:tableStyleInfo name="TableStyleMedium2" showRowStripes="1"/>
</x:table>
</file>

<file path=xl/tables/table2.xml><?xml version="1.0" encoding="utf-8"?>
<x:table xmlns:x="http://schemas.openxmlformats.org/spreadsheetml/2006/main" id="2" name="UAT_E2E_Scenarios" displayName="UAT_E2E_Scenarios" ref="A1:F11" headerRowCount="1">
  <x:tableColumns count="6">
    <x:tableColumn id="1" name="Scenario ID"/>
    <x:tableColumn id="2" name="Nama Skenario"/>
    <x:tableColumn id="3" name="Owner Modul"/>
    <x:tableColumn id="4" name="Tujuan"/>
    <x:tableColumn id="5" name="Alur Ringkas"/>
    <x:tableColumn id="6" name="Expected End State"/>
  </x:tableColumns>
  <x:tableStyleInfo name="TableStyleMedium2" showRowStripes="1"/>
</x:table>
</file>

<file path=xl/tables/table3.xml><?xml version="1.0" encoding="utf-8"?>
<x:table xmlns:x="http://schemas.openxmlformats.org/spreadsheetml/2006/main" id="3" name="UAT_Role_Matrix" displayName="UAT_Role_Matrix" ref="A1:D6" headerRowCount="1">
  <x:tableColumns count="4">
    <x:tableColumn id="1" name="Role"/>
    <x:tableColumn id="2" name="Akun Demo"/>
    <x:tableColumn id="3" name="Fokus UAT"/>
    <x:tableColumn id="4" name="Catatan Akses"/>
  </x:tableColumns>
  <x:tableStyleInfo name="TableStyleMedium2" showRowStripes="1"/>
</x:table>
</file>

<file path=xl/tables/table4.xml><?xml version="1.0" encoding="utf-8"?>
<x:table xmlns:x="http://schemas.openxmlformats.org/spreadsheetml/2006/main" id="4" name="UAT_Defect_Log" displayName="UAT_Defect_Log" ref="A1:P4" headerRowCount="1">
  <x:tableColumns count="16">
    <x:tableColumn id="1" name="Bug ID"/>
    <x:tableColumn id="2" name="Tanggal"/>
    <x:tableColumn id="3" name="Tester"/>
    <x:tableColumn id="4" name="Module"/>
    <x:tableColumn id="5" name="Case ID"/>
    <x:tableColumn id="6" name="Severity"/>
    <x:tableColumn id="7" name="Priority"/>
    <x:tableColumn id="8" name="Summary"/>
    <x:tableColumn id="9" name="Steps to Reproduce"/>
    <x:tableColumn id="10" name="Expected"/>
    <x:tableColumn id="11" name="Actual"/>
    <x:tableColumn id="12" name="Evidence Link"/>
    <x:tableColumn id="13" name="Owner"/>
    <x:tableColumn id="14" name="Status"/>
    <x:tableColumn id="15" name="Fixed Build"/>
    <x:tableColumn id="16" name="Retest Result"/>
  </x:tableColumns>
  <x:tableStyleInfo name="TableStyleMedium2" showRowStripes="1"/>
</x:table>
</file>

<file path=xl/tables/table5.xml><?xml version="1.0" encoding="utf-8"?>
<x:table xmlns:x="http://schemas.openxmlformats.org/spreadsheetml/2006/main" id="5" name="UAT_Sign_Off" displayName="UAT_Sign_Off" ref="A1:F6" headerRowCount="1">
  <x:tableColumns count="6">
    <x:tableColumn id="1" name="Area Sign-off"/>
    <x:tableColumn id="2" name="Nama"/>
    <x:tableColumn id="3" name="Role"/>
    <x:tableColumn id="4" name="Tanggal"/>
    <x:tableColumn id="5" name="Status"/>
    <x:tableColumn id="6" name="Catatan"/>
  </x:tableColumns>
  <x:tableStyleInfo name="TableStyleMedium2" showRowStripes="1"/>
</x:table>
</file>

<file path=xl/tables/table6.xml><?xml version="1.0" encoding="utf-8"?>
<x:table xmlns:x="http://schemas.openxmlformats.org/spreadsheetml/2006/main" id="6" name="Table1" displayName="Table1" ref="A1:N39" headerRowCount="1">
  <x:tableColumns count="14">
    <x:tableColumn id="1" name="ID"/>
    <x:tableColumn id="2" name="Modul"/>
    <x:tableColumn id="3" name="Submodul"/>
    <x:tableColumn id="4" name="Prioritas"/>
    <x:tableColumn id="5" name="Login yang Dipakai"/>
    <x:tableColumn id="6" name="Masuk Dari / Menu"/>
    <x:tableColumn id="7" name="Data Uji"/>
    <x:tableColumn id="8" name="Cara Test Detail"/>
    <x:tableColumn id="9" name="Output yang Diharapkan"/>
    <x:tableColumn id="10" name="Hasil"/>
    <x:tableColumn id="11" name="Bug / Ketidaksesuaian"/>
    <x:tableColumn id="12" name="Evidence"/>
    <x:tableColumn id="13" name="Tester"/>
    <x:tableColumn id="14" name="Tangg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6db382fa82463b" /></Relationships>
</file>

<file path=xl/worksheets/_rels/sheet3.xml.rels>&#65279;<?xml version="1.0" encoding="utf-8"?><Relationships xmlns="http://schemas.openxmlformats.org/package/2006/relationships"><Relationship Type="http://schemas.openxmlformats.org/officeDocument/2006/relationships/table" Target="/xl/tables/table2.xml" Id="R0049d7354e354fbf" /></Relationships>
</file>

<file path=xl/worksheets/_rels/sheet4.xml.rels>&#65279;<?xml version="1.0" encoding="utf-8"?><Relationships xmlns="http://schemas.openxmlformats.org/package/2006/relationships"><Relationship Type="http://schemas.openxmlformats.org/officeDocument/2006/relationships/table" Target="/xl/tables/table3.xml" Id="R87d363d211c94add" /></Relationships>
</file>

<file path=xl/worksheets/_rels/sheet5.xml.rels>&#65279;<?xml version="1.0" encoding="utf-8"?><Relationships xmlns="http://schemas.openxmlformats.org/package/2006/relationships"><Relationship Type="http://schemas.openxmlformats.org/officeDocument/2006/relationships/table" Target="/xl/tables/table4.xml" Id="Ra1f9e2e083c742dd" /></Relationships>
</file>

<file path=xl/worksheets/_rels/sheet6.xml.rels>&#65279;<?xml version="1.0" encoding="utf-8"?><Relationships xmlns="http://schemas.openxmlformats.org/package/2006/relationships"><Relationship Type="http://schemas.openxmlformats.org/officeDocument/2006/relationships/table" Target="/xl/tables/table5.xml" Id="R74f42c43147d48dc" /></Relationships>
</file>

<file path=xl/worksheets/_rels/sheet7.xml.rels>&#65279;<?xml version="1.0" encoding="utf-8"?><Relationships xmlns="http://schemas.openxmlformats.org/package/2006/relationships"><Relationship Type="http://schemas.openxmlformats.org/officeDocument/2006/relationships/table" Target="/xl/tables/table6.xml" Id="Re8498d5a46d6460e" /></Relationships>
</file>

<file path=xl/worksheets/sheet1.xml><?xml version="1.0" encoding="utf-8"?>
<x:worksheet xmlns:x="http://schemas.openxmlformats.org/spreadsheetml/2006/main">
  <x:sheetViews>
    <x:sheetView showGridLines="0" workbookViewId="0"/>
  </x:sheetViews>
  <x:sheetFormatPr defaultRowHeight="15"/>
  <x:cols>
    <x:col min="1" max="1" width="28.940000534057617" hidden="0" customWidth="1"/>
    <x:col min="2" max="2" width="69.30999755859375" hidden="0" customWidth="1"/>
    <x:col min="3" max="3" width="15.479999542236328" hidden="0" customWidth="1"/>
    <x:col min="4" max="4" width="10.09000015258789" hidden="0" customWidth="1"/>
    <x:col min="5" max="5" width="10.09000015258789" hidden="0" customWidth="1"/>
    <x:col min="6" max="6" width="10.09000015258789" hidden="0" customWidth="1"/>
  </x:cols>
  <x:sheetData>
    <x:row r="1" ht="33" customHeight="1">
      <x:c r="A1" s="5" t="str">
        <x:v>UAT End-to-End Sistem Logistik</x:v>
      </x:c>
      <x:c r="B1" s="5" t="str"/>
      <x:c r="C1" s="5" t="str"/>
      <x:c r="D1" s="5" t="str"/>
      <x:c r="E1" s="5" t="str"/>
      <x:c r="F1" s="5" t="str"/>
    </x:row>
    <x:row r="2" ht="34.5" customHeight="1">
      <x:c r="A2" s="2" t="str">
        <x:v>Generated At</x:v>
      </x:c>
      <x:c r="B2" s="2" t="str">
        <x:v>2026-05-13</x:v>
      </x:c>
      <x:c r="C2" s="2" t="str"/>
      <x:c r="D2" s="2" t="str"/>
      <x:c r="E2" s="2" t="str"/>
      <x:c r="F2" s="2" t="str"/>
    </x:row>
    <x:row r="3" ht="34.5" customHeight="1">
      <x:c r="A3" s="2" t="str">
        <x:v>Metric</x:v>
      </x:c>
      <x:c r="B3" s="2" t="str">
        <x:v>Formula</x:v>
      </x:c>
      <x:c r="C3" s="2" t="str">
        <x:v>Value</x:v>
      </x:c>
      <x:c r="D3" s="2" t="str"/>
      <x:c r="E3" s="2" t="str"/>
      <x:c r="F3" s="2" t="str"/>
    </x:row>
    <x:row r="4" ht="34.5" customHeight="1">
      <x:c r="A4" s="2" t="str">
        <x:v>Total Test Case</x:v>
      </x:c>
      <x:c r="B4" s="2" t="str">
        <x:v>COUNTIF('01 Test Cases'!A:A,"&lt;&gt;")-1</x:v>
      </x:c>
      <x:c r="C4" s="2" t="n">
        <x:f>COUNTIF('01 Test Cases'!A:A,"&lt;&gt;")-1</x:f>
        <x:v>121</x:v>
      </x:c>
      <x:c r="D4" s="2"/>
      <x:c r="E4" s="2"/>
      <x:c r="F4" s="2"/>
    </x:row>
    <x:row r="5" ht="34.5" customHeight="1">
      <x:c r="A5" s="2" t="str">
        <x:v>P0 Cases</x:v>
      </x:c>
      <x:c r="B5" s="2" t="str">
        <x:v>COUNTIF('01 Test Cases'!D:D,"P0")</x:v>
      </x:c>
      <x:c r="C5" s="2" t="n">
        <x:f>COUNTIF('01 Test Cases'!D:D,"P0")</x:f>
        <x:v>83</x:v>
      </x:c>
      <x:c r="D5" s="2"/>
      <x:c r="E5" s="2"/>
      <x:c r="F5" s="2"/>
    </x:row>
    <x:row r="6" ht="34.5" customHeight="1">
      <x:c r="A6" s="2" t="str">
        <x:v>P1 Cases</x:v>
      </x:c>
      <x:c r="B6" s="2" t="str">
        <x:v>COUNTIF('01 Test Cases'!D:D,"P1")</x:v>
      </x:c>
      <x:c r="C6" s="2" t="n">
        <x:f>COUNTIF('01 Test Cases'!D:D,"P1")</x:f>
        <x:v>36</x:v>
      </x:c>
      <x:c r="D6" s="2"/>
      <x:c r="E6" s="2"/>
      <x:c r="F6" s="2"/>
    </x:row>
    <x:row r="7" ht="34.5" customHeight="1">
      <x:c r="A7" s="2" t="str">
        <x:v>P2 Cases</x:v>
      </x:c>
      <x:c r="B7" s="2" t="str">
        <x:v>COUNTIF('01 Test Cases'!D:D,"P2")</x:v>
      </x:c>
      <x:c r="C7" s="2" t="n">
        <x:f>COUNTIF('01 Test Cases'!D:D,"P2")</x:f>
        <x:v>2</x:v>
      </x:c>
      <x:c r="D7" s="2"/>
      <x:c r="E7" s="2"/>
      <x:c r="F7" s="2"/>
    </x:row>
    <x:row r="8" ht="34.5" customHeight="1">
      <x:c r="A8" s="2" t="str">
        <x:v>Pass</x:v>
      </x:c>
      <x:c r="B8" s="2" t="str">
        <x:v>COUNTIF('01 Test Cases'!L:L,"Pass")</x:v>
      </x:c>
      <x:c r="C8" s="2" t="n">
        <x:f>COUNTIF('01 Test Cases'!L:L,"Pass")</x:f>
        <x:v>0</x:v>
      </x:c>
      <x:c r="D8" s="2"/>
      <x:c r="E8" s="2"/>
      <x:c r="F8" s="2"/>
    </x:row>
    <x:row r="9" ht="34.5" customHeight="1">
      <x:c r="A9" s="2" t="str">
        <x:v>Fail</x:v>
      </x:c>
      <x:c r="B9" s="2" t="str">
        <x:v>COUNTIF('01 Test Cases'!L:L,"Fail")</x:v>
      </x:c>
      <x:c r="C9" s="2" t="n">
        <x:f>COUNTIF('01 Test Cases'!L:L,"Fail")</x:f>
        <x:v>0</x:v>
      </x:c>
      <x:c r="D9" s="2"/>
      <x:c r="E9" s="2"/>
      <x:c r="F9" s="2"/>
    </x:row>
    <x:row r="10" ht="34.5" customHeight="1">
      <x:c r="A10" s="2" t="str">
        <x:v>Blocked</x:v>
      </x:c>
      <x:c r="B10" s="2" t="str">
        <x:v>COUNTIF('01 Test Cases'!L:L,"Blocked")</x:v>
      </x:c>
      <x:c r="C10" s="2" t="n">
        <x:f>COUNTIF('01 Test Cases'!L:L,"Blocked")</x:f>
        <x:v>0</x:v>
      </x:c>
      <x:c r="D10" s="2"/>
      <x:c r="E10" s="2"/>
      <x:c r="F10" s="2"/>
    </x:row>
    <x:row r="11" ht="34.5" customHeight="1">
      <x:c r="A11" s="2" t="str">
        <x:v>Not Run</x:v>
      </x:c>
      <x:c r="B11" s="2" t="str">
        <x:v>COUNTIF('01 Test Cases'!L:L,"Not Run")</x:v>
      </x:c>
      <x:c r="C11" s="2" t="n">
        <x:f>COUNTIF('01 Test Cases'!L:L,"Not Run")</x:f>
        <x:v>121</x:v>
      </x:c>
      <x:c r="D11" s="2"/>
      <x:c r="E11" s="2"/>
      <x:c r="F11" s="2"/>
    </x:row>
    <x:row r="12" ht="34.5" customHeight="1">
      <x:c r="A12" s="2" t="str">
        <x:v>Pass Rate</x:v>
      </x:c>
      <x:c r="B12" s="2" t="str">
        <x:v>IF(B4=0,"",B8/B4)</x:v>
      </x:c>
      <x:c r="C12" s="6" t="n">
        <x:f>IF(C4=0,"",C8/C4)</x:f>
        <x:v>0</x:v>
      </x:c>
      <x:c r="D12" s="2"/>
      <x:c r="E12" s="2"/>
      <x:c r="F12" s="2"/>
    </x:row>
    <x:row r="13" ht="34.5" customHeight="1">
      <x:c r="A13" s="2" t="str"/>
      <x:c r="B13" s="2" t="str"/>
      <x:c r="C13" s="2" t="str"/>
      <x:c r="D13" s="2" t="str"/>
      <x:c r="E13" s="2" t="str"/>
      <x:c r="F13" s="2" t="str"/>
    </x:row>
    <x:row r="14" ht="34.5" customHeight="1">
      <x:c r="A14" s="2" t="str">
        <x:v>Execution Rule</x:v>
      </x:c>
      <x:c r="B14" s="2" t="str">
        <x:v>Mulai dari P0. Semua P0 harus Pass sebelum sign-off.</x:v>
      </x:c>
      <x:c r="C14" s="2" t="str"/>
      <x:c r="D14" s="2" t="str"/>
      <x:c r="E14" s="2" t="str"/>
      <x:c r="F14" s="2" t="str"/>
    </x:row>
    <x:row r="15" ht="34.5" customHeight="1">
      <x:c r="A15" s="2" t="str">
        <x:v>Bug Rule</x:v>
      </x:c>
      <x:c r="B15" s="2" t="str">
        <x:v>Setiap Fail wajib punya Actual Result, Evidence Link, dan Bug ID.</x:v>
      </x:c>
      <x:c r="C15" s="2" t="str"/>
      <x:c r="D15" s="2" t="str"/>
      <x:c r="E15" s="2" t="str"/>
      <x:c r="F15" s="2" t="str"/>
    </x:row>
    <x:row r="16">
      <x:c r="A16" t="str">
        <x:v>Detail Mobile/Admin</x:v>
      </x:c>
      <x:c r="B16" t="str">
        <x:v>COUNTIF('06 Mobile Admin Detail'!A:A,"&lt;&gt;")-1</x:v>
      </x:c>
      <x:c r="C16" t="n">
        <x:v>38</x:v>
      </x:c>
    </x:row>
    <x:row r="17">
      <x:c r="A17" t="str">
        <x:v>Total + Detail</x:v>
      </x:c>
      <x:c r="B17" t="str">
        <x:v>C4+C16</x:v>
      </x:c>
      <x:c r="C17" t="n">
        <x:f>C4+C16</x:f>
        <x:v>159</x:v>
      </x:c>
    </x:row>
    <x:row r="18">
      <x:c r="A18" t="str">
        <x:v>P0 + Detail</x:v>
      </x:c>
      <x:c r="B18" t="str">
        <x:v>C5+COUNTIF('06 Mobile Admin Detail'!D:D,"P0")</x:v>
      </x:c>
      <x:c r="C18" t="n">
        <x:f>C5+COUNTIF('06 Mobile Admin Detail'!D:D,"P0")</x:f>
        <x:v>119</x:v>
      </x:c>
    </x:row>
    <x:row r="19">
      <x:c r="A19" t="str">
        <x:v>P1 + Detail</x:v>
      </x:c>
      <x:c r="B19" t="str">
        <x:v>C6+COUNTIF('06 Mobile Admin Detail'!D:D,"P1")</x:v>
      </x:c>
      <x:c r="C19" t="n">
        <x:f>C6+COUNTIF('06 Mobile Admin Detail'!D:D,"P1")</x:f>
        <x:v>38</x:v>
      </x:c>
    </x:row>
    <x:row r="20">
      <x:c r="A20" t="str">
        <x:v>P2 + Detail</x:v>
      </x:c>
      <x:c r="B20" t="str">
        <x:v>C7+COUNTIF('06 Mobile Admin Detail'!D:D,"P2")</x:v>
      </x:c>
      <x:c r="C20" t="n">
        <x:f>C7+COUNTIF('06 Mobile Admin Detail'!D:D,"P2")</x:f>
        <x:v>2</x:v>
      </x:c>
    </x:row>
    <x:row r="21">
      <x:c r="A21" t="str">
        <x:v>Detail Sheet</x:v>
      </x:c>
      <x:c r="B21" t="str">
        <x:v>06 Mobile Admin Detail</x:v>
      </x:c>
      <x:c r="C21" t="str">
        <x:v>Akun, menu, data uji, langkah test, dan expected result mobile-admin.</x:v>
      </x:c>
    </x:row>
    <x:row r="22">
      <x:c r="A22" t="str">
        <x:v>Mobile Menu Focus</x:v>
      </x:c>
      <x:c r="B22" t="str">
        <x:v>Kelola SJ &amp; Barang, Update Status SJ, Ajukan Selesai, Lapor/Ajukan Selesai Insiden, Tutup Trip</x:v>
      </x:c>
      <x:c r="C22"/>
    </x:row>
    <x:row r="23">
      <x:c r="A23" t="str">
        <x:v>Admin Menu Focus</x:v>
      </x:c>
      <x:c r="B23" t="str">
        <x:v>/delivery-orders, /surat-jalan, /fleet/incidents, /driver-vouchers, /invoices, /reports</x:v>
      </x:c>
      <x:c r="C23"/>
    </x:row>
    <x:row r="24">
      <x:c r="A24" t="str">
        <x:v>Bug Rule Detail</x:v>
      </x:c>
      <x:c r="B24" t="str">
        <x:v>Setiap Fail di detail sheet wajib isi Bug / Ketidaksesuaian, Evidence, Tester, dan Tanggal.</x:v>
      </x:c>
      <x:c r="C24"/>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109999656677246" hidden="0" customWidth="1"/>
    <x:col min="2" max="2" width="19.520000457763672" hidden="0" customWidth="1"/>
    <x:col min="3" max="3" width="20.190000534057617" hidden="0" customWidth="1"/>
    <x:col min="4" max="4" width="9.420000076293945" hidden="0" customWidth="1"/>
    <x:col min="5" max="5" width="12.109999656677246" hidden="0" customWidth="1"/>
    <x:col min="6" max="6" width="19.520000457763672" hidden="0" customWidth="1"/>
    <x:col min="7" max="7" width="34.31999969482422" hidden="0" customWidth="1"/>
    <x:col min="8" max="8" width="35.66999816894531" hidden="0" customWidth="1"/>
    <x:col min="9" max="9" width="50.470001220703125" hidden="0" customWidth="1"/>
    <x:col min="10" max="10" width="50.470001220703125" hidden="0" customWidth="1"/>
    <x:col min="11" max="11" width="20.860000610351562" hidden="0" customWidth="1"/>
    <x:col min="12" max="12" width="12.109999656677246" hidden="0" customWidth="1"/>
    <x:col min="13" max="13" width="34.31999969482422" hidden="0" customWidth="1"/>
    <x:col min="14" max="14" width="23.549999237060547" hidden="0" customWidth="1"/>
    <x:col min="15" max="15" width="15.479999542236328" hidden="0" customWidth="1"/>
    <x:col min="16" max="16" width="14.130000114440918" hidden="0" customWidth="1"/>
    <x:col min="17" max="17" width="14.130000114440918" hidden="0" customWidth="1"/>
    <x:col min="18" max="18" width="23.549999237060547" hidden="0" customWidth="1"/>
  </x:cols>
  <x:sheetData>
    <x:row r="1" ht="42" customHeight="1">
      <x:c r="A1" s="5" t="str">
        <x:v>Case ID</x:v>
      </x:c>
      <x:c r="B1" s="5" t="str">
        <x:v>Module</x:v>
      </x:c>
      <x:c r="C1" s="5" t="str">
        <x:v>Submodule</x:v>
      </x:c>
      <x:c r="D1" s="5" t="str">
        <x:v>Priority</x:v>
      </x:c>
      <x:c r="E1" s="5" t="str">
        <x:v>Type</x:v>
      </x:c>
      <x:c r="F1" s="5" t="str">
        <x:v>Role</x:v>
      </x:c>
      <x:c r="G1" s="5" t="str">
        <x:v>Scenario</x:v>
      </x:c>
      <x:c r="H1" s="5" t="str">
        <x:v>Precondition</x:v>
      </x:c>
      <x:c r="I1" s="5" t="str">
        <x:v>Steps</x:v>
      </x:c>
      <x:c r="J1" s="5" t="str">
        <x:v>Expected Result</x:v>
      </x:c>
      <x:c r="K1" s="5" t="str">
        <x:v>Test Data</x:v>
      </x:c>
      <x:c r="L1" s="5" t="str">
        <x:v>Status</x:v>
      </x:c>
      <x:c r="M1" s="5" t="str">
        <x:v>Actual Result</x:v>
      </x:c>
      <x:c r="N1" s="5" t="str">
        <x:v>Evidence Link</x:v>
      </x:c>
      <x:c r="O1" s="5" t="str">
        <x:v>Bug ID</x:v>
      </x:c>
      <x:c r="P1" s="5" t="str">
        <x:v>Tester</x:v>
      </x:c>
      <x:c r="Q1" s="5" t="str">
        <x:v>Run Date</x:v>
      </x:c>
      <x:c r="R1" s="5" t="str">
        <x:v>Notes</x:v>
      </x:c>
    </x:row>
    <x:row r="2" ht="90" customHeight="1">
      <x:c r="A2" s="2" t="str">
        <x:v>AUTH-001</x:v>
      </x:c>
      <x:c r="B2" s="2" t="str">
        <x:v>Auth &amp; Sesi</x:v>
      </x:c>
      <x:c r="C2" s="2" t="str">
        <x:v>Login Admin</x:v>
      </x:c>
      <x:c r="D2" s="2" t="str">
        <x:v>P0</x:v>
      </x:c>
      <x:c r="E2" s="2" t="str">
        <x:v>Positive</x:v>
      </x:c>
      <x:c r="F2" s="2" t="str">
        <x:v>OWNER/OPERASIONAL/FINANCE/ARMADA</x:v>
      </x:c>
      <x:c r="G2" s="2" t="str">
        <x:v>Login dengan akun internal valid.</x:v>
      </x:c>
      <x:c r="H2" s="2" t="str">
        <x:v>Akun demo tersedia.</x:v>
      </x:c>
      <x:c r="I2" s="2" t="str">
        <x:v>1. Buka /login
2. Masukkan email/password valid
3. Klik Masuk</x:v>
      </x:c>
      <x:c r="J2" s="2" t="str">
        <x:v>User masuk ke dashboard sesuai role, nama user tampil, menu sesuai hak akses.</x:v>
      </x:c>
      <x:c r="K2" s="2" t="str"/>
      <x:c r="L2" s="2" t="str">
        <x:v>Not Run</x:v>
      </x:c>
      <x:c r="M2" s="2" t="str"/>
      <x:c r="N2" s="2" t="str"/>
      <x:c r="O2" s="2" t="str"/>
      <x:c r="P2" s="2" t="str"/>
      <x:c r="Q2" s="2" t="str"/>
      <x:c r="R2" s="2" t="str"/>
    </x:row>
    <x:row r="3" ht="90" customHeight="1">
      <x:c r="A3" s="2" t="str">
        <x:v>AUTH-002</x:v>
      </x:c>
      <x:c r="B3" s="2" t="str">
        <x:v>Auth &amp; Sesi</x:v>
      </x:c>
      <x:c r="C3" s="2" t="str">
        <x:v>Login Admin</x:v>
      </x:c>
      <x:c r="D3" s="2" t="str">
        <x:v>P0</x:v>
      </x:c>
      <x:c r="E3" s="2" t="str">
        <x:v>Negative</x:v>
      </x:c>
      <x:c r="F3" s="2" t="str">
        <x:v>Semua</x:v>
      </x:c>
      <x:c r="G3" s="2" t="str">
        <x:v>Login ditolak untuk password salah.</x:v>
      </x:c>
      <x:c r="H3" s="2" t="str">
        <x:v>Akun demo tersedia.</x:v>
      </x:c>
      <x:c r="I3" s="2" t="str">
        <x:v>1. Buka /login
2. Masukkan email valid dengan password salah
3. Klik Masuk</x:v>
      </x:c>
      <x:c r="J3" s="2" t="str">
        <x:v>Muncul pesan error, user tetap di halaman login, tidak ada session aktif.</x:v>
      </x:c>
      <x:c r="K3" s="2" t="str"/>
      <x:c r="L3" s="2" t="str">
        <x:v>Not Run</x:v>
      </x:c>
      <x:c r="M3" s="2" t="str"/>
      <x:c r="N3" s="2" t="str"/>
      <x:c r="O3" s="2" t="str"/>
      <x:c r="P3" s="2" t="str"/>
      <x:c r="Q3" s="2" t="str"/>
      <x:c r="R3" s="2" t="str"/>
    </x:row>
    <x:row r="4" ht="90" customHeight="1">
      <x:c r="A4" s="2" t="str">
        <x:v>AUTH-003</x:v>
      </x:c>
      <x:c r="B4" s="2" t="str">
        <x:v>Auth &amp; Sesi</x:v>
      </x:c>
      <x:c r="C4" s="2" t="str">
        <x:v>Driver Auth</x:v>
      </x:c>
      <x:c r="D4" s="2" t="str">
        <x:v>P0</x:v>
      </x:c>
      <x:c r="E4" s="2" t="str">
        <x:v>Negative</x:v>
      </x:c>
      <x:c r="F4" s="2" t="str">
        <x:v>DRIVER</x:v>
      </x:c>
      <x:c r="G4" s="2" t="str">
        <x:v>Akun driver tidak boleh masuk admin panel.</x:v>
      </x:c>
      <x:c r="H4" s="2" t="str">
        <x:v>Akun driver aktif.</x:v>
      </x:c>
      <x:c r="I4" s="2" t="str">
        <x:v>1. Buka /login
2. Login memakai akun driver</x:v>
      </x:c>
      <x:c r="J4" s="2" t="str">
        <x:v>Login admin ditolak atau diarahkan keluar; akun driver hanya boleh di /driver/login atau app mobile.</x:v>
      </x:c>
      <x:c r="K4" s="2" t="str"/>
      <x:c r="L4" s="2" t="str">
        <x:v>Not Run</x:v>
      </x:c>
      <x:c r="M4" s="2" t="str"/>
      <x:c r="N4" s="2" t="str"/>
      <x:c r="O4" s="2" t="str"/>
      <x:c r="P4" s="2" t="str"/>
      <x:c r="Q4" s="2" t="str"/>
      <x:c r="R4" s="2" t="str"/>
    </x:row>
    <x:row r="5" ht="90" customHeight="1">
      <x:c r="A5" s="2" t="str">
        <x:v>AUTH-004</x:v>
      </x:c>
      <x:c r="B5" s="2" t="str">
        <x:v>Auth &amp; Sesi</x:v>
      </x:c>
      <x:c r="C5" s="2" t="str">
        <x:v>Driver Auth</x:v>
      </x:c>
      <x:c r="D5" s="2" t="str">
        <x:v>P0</x:v>
      </x:c>
      <x:c r="E5" s="2" t="str">
        <x:v>Positive</x:v>
      </x:c>
      <x:c r="F5" s="2" t="str">
        <x:v>DRIVER</x:v>
      </x:c>
      <x:c r="G5" s="2" t="str">
        <x:v>Driver login di portal/app driver.</x:v>
      </x:c>
      <x:c r="H5" s="2" t="str">
        <x:v>Akun driver aktif.</x:v>
      </x:c>
      <x:c r="I5" s="2" t="str">
        <x:v>1. Buka /driver/login atau app mobile
2. Login driver
3. Lihat dashboard driver</x:v>
      </x:c>
      <x:c r="J5" s="2" t="str">
        <x:v>Driver melihat trip miliknya saja dan token/session driver valid.</x:v>
      </x:c>
      <x:c r="K5" s="2" t="str"/>
      <x:c r="L5" s="2" t="str">
        <x:v>Not Run</x:v>
      </x:c>
      <x:c r="M5" s="2" t="str"/>
      <x:c r="N5" s="2" t="str"/>
      <x:c r="O5" s="2" t="str"/>
      <x:c r="P5" s="2" t="str"/>
      <x:c r="Q5" s="2" t="str"/>
      <x:c r="R5" s="2" t="str"/>
    </x:row>
    <x:row r="6" ht="90" customHeight="1">
      <x:c r="A6" s="2" t="str">
        <x:v>AUTH-005</x:v>
      </x:c>
      <x:c r="B6" s="2" t="str">
        <x:v>Auth &amp; Sesi</x:v>
      </x:c>
      <x:c r="C6" s="2" t="str">
        <x:v>Logout</x:v>
      </x:c>
      <x:c r="D6" s="2" t="str">
        <x:v>P1</x:v>
      </x:c>
      <x:c r="E6" s="2" t="str">
        <x:v>Positive</x:v>
      </x:c>
      <x:c r="F6" s="2" t="str">
        <x:v>Semua</x:v>
      </x:c>
      <x:c r="G6" s="2" t="str">
        <x:v>Logout menghapus sesi.</x:v>
      </x:c>
      <x:c r="H6" s="2" t="str">
        <x:v>User sudah login.</x:v>
      </x:c>
      <x:c r="I6" s="2" t="str">
        <x:v>1. Klik Logout
2. Buka ulang route terlindungi</x:v>
      </x:c>
      <x:c r="J6" s="2" t="str">
        <x:v>User diarahkan ke login; route admin/driver tidak bisa dibuka tanpa login.</x:v>
      </x:c>
      <x:c r="K6" s="2" t="str"/>
      <x:c r="L6" s="2" t="str">
        <x:v>Not Run</x:v>
      </x:c>
      <x:c r="M6" s="2" t="str"/>
      <x:c r="N6" s="2" t="str"/>
      <x:c r="O6" s="2" t="str"/>
      <x:c r="P6" s="2" t="str"/>
      <x:c r="Q6" s="2" t="str"/>
      <x:c r="R6" s="2" t="str"/>
    </x:row>
    <x:row r="7" ht="90" customHeight="1">
      <x:c r="A7" s="2" t="str">
        <x:v>AUTH-006</x:v>
      </x:c>
      <x:c r="B7" s="2" t="str">
        <x:v>RBAC</x:v>
      </x:c>
      <x:c r="C7" s="2" t="str">
        <x:v>Menu Role</x:v>
      </x:c>
      <x:c r="D7" s="2" t="str">
        <x:v>P0</x:v>
      </x:c>
      <x:c r="E7" s="2" t="str">
        <x:v>RBAC</x:v>
      </x:c>
      <x:c r="F7" s="2" t="str">
        <x:v>FINANCE</x:v>
      </x:c>
      <x:c r="G7" s="2" t="str">
        <x:v>Role finance tidak melihat/mengubah modul operasional yang tidak diizinkan.</x:v>
      </x:c>
      <x:c r="H7" s="2" t="str">
        <x:v>Login finance.</x:v>
      </x:c>
      <x:c r="I7" s="2" t="str">
        <x:v>1. Login finance
2. Periksa sidebar
3. Coba akses route order create/armada write secara langsung</x:v>
      </x:c>
      <x:c r="J7" s="2" t="str">
        <x:v>Menu dan action dibatasi; akses route/action terlarang ditolak.</x:v>
      </x:c>
      <x:c r="K7" s="2" t="str"/>
      <x:c r="L7" s="2" t="str">
        <x:v>Not Run</x:v>
      </x:c>
      <x:c r="M7" s="2" t="str"/>
      <x:c r="N7" s="2" t="str"/>
      <x:c r="O7" s="2" t="str"/>
      <x:c r="P7" s="2" t="str"/>
      <x:c r="Q7" s="2" t="str"/>
      <x:c r="R7" s="2" t="str"/>
    </x:row>
    <x:row r="8" ht="90" customHeight="1">
      <x:c r="A8" s="2" t="str">
        <x:v>AUTH-007</x:v>
      </x:c>
      <x:c r="B8" s="2" t="str">
        <x:v>RBAC</x:v>
      </x:c>
      <x:c r="C8" s="2" t="str">
        <x:v>Menu Role</x:v>
      </x:c>
      <x:c r="D8" s="2" t="str">
        <x:v>P0</x:v>
      </x:c>
      <x:c r="E8" s="2" t="str">
        <x:v>RBAC</x:v>
      </x:c>
      <x:c r="F8" s="2" t="str">
        <x:v>ARMADA</x:v>
      </x:c>
      <x:c r="G8" s="2" t="str">
        <x:v>Role armada fokus fleet dan tidak bisa membuat nota/pembayaran.</x:v>
      </x:c>
      <x:c r="H8" s="2" t="str">
        <x:v>Login armada.</x:v>
      </x:c>
      <x:c r="I8" s="2" t="str">
        <x:v>1. Buka /invoices/new dan /bank-accounts action create
2. Coba submit</x:v>
      </x:c>
      <x:c r="J8" s="2" t="str">
        <x:v>Akses/action finance ditolak, tidak ada data finance dibuat.</x:v>
      </x:c>
      <x:c r="K8" s="2" t="str"/>
      <x:c r="L8" s="2" t="str">
        <x:v>Not Run</x:v>
      </x:c>
      <x:c r="M8" s="2" t="str"/>
      <x:c r="N8" s="2" t="str"/>
      <x:c r="O8" s="2" t="str"/>
      <x:c r="P8" s="2" t="str"/>
      <x:c r="Q8" s="2" t="str"/>
      <x:c r="R8" s="2" t="str"/>
    </x:row>
    <x:row r="9" ht="90" customHeight="1">
      <x:c r="A9" s="2" t="str">
        <x:v>AUTH-008</x:v>
      </x:c>
      <x:c r="B9" s="2" t="str">
        <x:v>Pengaturan</x:v>
      </x:c>
      <x:c r="C9" s="2" t="str">
        <x:v>Profile &amp; Password</x:v>
      </x:c>
      <x:c r="D9" s="2" t="str">
        <x:v>P1</x:v>
      </x:c>
      <x:c r="E9" s="2" t="str">
        <x:v>Positive</x:v>
      </x:c>
      <x:c r="F9" s="2" t="str">
        <x:v>Semua internal</x:v>
      </x:c>
      <x:c r="G9" s="2" t="str">
        <x:v>User mengubah profile dan password sendiri.</x:v>
      </x:c>
      <x:c r="H9" s="2" t="str">
        <x:v>Login internal.</x:v>
      </x:c>
      <x:c r="I9" s="2" t="str">
        <x:v>1. Buka Akun Saya
2. Ubah nama/profil
3. Buka Password
4. Ganti password dengan current password valid</x:v>
      </x:c>
      <x:c r="J9" s="2" t="str">
        <x:v>Profil tersimpan, password baru bisa login, password lama ditolak.</x:v>
      </x:c>
      <x:c r="K9" s="2" t="str"/>
      <x:c r="L9" s="2" t="str">
        <x:v>Not Run</x:v>
      </x:c>
      <x:c r="M9" s="2" t="str"/>
      <x:c r="N9" s="2" t="str"/>
      <x:c r="O9" s="2" t="str"/>
      <x:c r="P9" s="2" t="str"/>
      <x:c r="Q9" s="2" t="str"/>
      <x:c r="R9" s="2" t="str"/>
    </x:row>
    <x:row r="10" ht="90" customHeight="1">
      <x:c r="A10" s="2" t="str">
        <x:v>DASH-001</x:v>
      </x:c>
      <x:c r="B10" s="2" t="str">
        <x:v>Dashboard</x:v>
      </x:c>
      <x:c r="C10" s="2" t="str">
        <x:v>Owner Summary</x:v>
      </x:c>
      <x:c r="D10" s="2" t="str">
        <x:v>P0</x:v>
      </x:c>
      <x:c r="E10" s="2" t="str">
        <x:v>Positive</x:v>
      </x:c>
      <x:c r="F10" s="2" t="str">
        <x:v>OWNER</x:v>
      </x:c>
      <x:c r="G10" s="2" t="str">
        <x:v>Dashboard owner menampilkan angka operasional dan finance konsisten.</x:v>
      </x:c>
      <x:c r="H10" s="2" t="str">
        <x:v>Data seed tersedia.</x:v>
      </x:c>
      <x:c r="I10" s="2" t="str">
        <x:v>1. Login owner
2. Buka /dashboard
3. Bandingkan kartu tagihan/DO/bon/borongan dengan daftar modul terkait</x:v>
      </x:c>
      <x:c r="J10" s="2" t="str">
        <x:v>Angka dashboard sesuai data modul terkait, tidak membaca invoice legacy sebagai tagihan aktif baru.</x:v>
      </x:c>
      <x:c r="K10" s="2" t="str"/>
      <x:c r="L10" s="2" t="str">
        <x:v>Not Run</x:v>
      </x:c>
      <x:c r="M10" s="2" t="str"/>
      <x:c r="N10" s="2" t="str"/>
      <x:c r="O10" s="2" t="str"/>
      <x:c r="P10" s="2" t="str"/>
      <x:c r="Q10" s="2" t="str"/>
      <x:c r="R10" s="2" t="str"/>
    </x:row>
    <x:row r="11" ht="90" customHeight="1">
      <x:c r="A11" s="2" t="str">
        <x:v>DASH-002</x:v>
      </x:c>
      <x:c r="B11" s="2" t="str">
        <x:v>Dashboard</x:v>
      </x:c>
      <x:c r="C11" s="2" t="str">
        <x:v>Role Dashboard</x:v>
      </x:c>
      <x:c r="D11" s="2" t="str">
        <x:v>P1</x:v>
      </x:c>
      <x:c r="E11" s="2" t="str">
        <x:v>RBAC</x:v>
      </x:c>
      <x:c r="F11" s="2" t="str">
        <x:v>OPERASIONAL/FINANCE/ARMADA</x:v>
      </x:c>
      <x:c r="G11" s="2" t="str">
        <x:v>Dashboard tiap role tetap usable dan tidak menampilkan action tidak berhak.</x:v>
      </x:c>
      <x:c r="H11" s="2" t="str">
        <x:v>Login tiap role.</x:v>
      </x:c>
      <x:c r="I11" s="2" t="str">
        <x:v>1. Login role
2. Buka dashboard
3. Klik quick action yang tersedia</x:v>
      </x:c>
      <x:c r="J11" s="2" t="str">
        <x:v>Quick action sesuai role; tidak ada error akses kosong.</x:v>
      </x:c>
      <x:c r="K11" s="2" t="str"/>
      <x:c r="L11" s="2" t="str">
        <x:v>Not Run</x:v>
      </x:c>
      <x:c r="M11" s="2" t="str"/>
      <x:c r="N11" s="2" t="str"/>
      <x:c r="O11" s="2" t="str"/>
      <x:c r="P11" s="2" t="str"/>
      <x:c r="Q11" s="2" t="str"/>
      <x:c r="R11" s="2" t="str"/>
    </x:row>
    <x:row r="12" ht="90" customHeight="1">
      <x:c r="A12" s="2" t="str">
        <x:v>MD-001</x:v>
      </x:c>
      <x:c r="B12" s="2" t="str">
        <x:v>Master Data</x:v>
      </x:c>
      <x:c r="C12" s="2" t="str">
        <x:v>Customer</x:v>
      </x:c>
      <x:c r="D12" s="2" t="str">
        <x:v>P0</x:v>
      </x:c>
      <x:c r="E12" s="2" t="str">
        <x:v>Positive</x:v>
      </x:c>
      <x:c r="F12" s="2" t="str">
        <x:v>OWNER/OPERASIONAL</x:v>
      </x:c>
      <x:c r="G12" s="2" t="str">
        <x:v>Buat customer baru lengkap.</x:v>
      </x:c>
      <x:c r="H12" s="2" t="str">
        <x:v>Login role yang berhak.</x:v>
      </x:c>
      <x:c r="I12" s="2" t="str">
        <x:v>1. Buka Customer
2. Klik Baru
3. Isi nama, kontak, alamat, term, credit limit
4. Simpan</x:v>
      </x:c>
      <x:c r="J12" s="2" t="str">
        <x:v>Customer tersimpan, muncul di daftar dan bisa dipilih di order.</x:v>
      </x:c>
      <x:c r="K12" s="2" t="str"/>
      <x:c r="L12" s="2" t="str">
        <x:v>Not Run</x:v>
      </x:c>
      <x:c r="M12" s="2" t="str"/>
      <x:c r="N12" s="2" t="str"/>
      <x:c r="O12" s="2" t="str"/>
      <x:c r="P12" s="2" t="str"/>
      <x:c r="Q12" s="2" t="str"/>
      <x:c r="R12" s="2" t="str"/>
    </x:row>
    <x:row r="13" ht="90" customHeight="1">
      <x:c r="A13" s="2" t="str">
        <x:v>MD-002</x:v>
      </x:c>
      <x:c r="B13" s="2" t="str">
        <x:v>Master Data</x:v>
      </x:c>
      <x:c r="C13" s="2" t="str">
        <x:v>Customer Detail</x:v>
      </x:c>
      <x:c r="D13" s="2" t="str">
        <x:v>P0</x:v>
      </x:c>
      <x:c r="E13" s="2" t="str">
        <x:v>Positive</x:v>
      </x:c>
      <x:c r="F13" s="2" t="str">
        <x:v>OWNER/OPERASIONAL</x:v>
      </x:c>
      <x:c r="G13" s="2" t="str">
        <x:v>Tambah master barang customer.</x:v>
      </x:c>
      <x:c r="H13" s="2" t="str">
        <x:v>Customer sudah ada.</x:v>
      </x:c>
      <x:c r="I13" s="2" t="str">
        <x:v>1. Buka detail customer
2. Tambah barang customer
3. Isi kode/deskripsi/default koli/berat/volume
4. Simpan</x:v>
      </x:c>
      <x:c r="J13" s="2" t="str">
        <x:v>Barang muncul di dropdown order untuk customer tersebut dengan default yang benar.</x:v>
      </x:c>
      <x:c r="K13" s="2" t="str"/>
      <x:c r="L13" s="2" t="str">
        <x:v>Not Run</x:v>
      </x:c>
      <x:c r="M13" s="2" t="str"/>
      <x:c r="N13" s="2" t="str"/>
      <x:c r="O13" s="2" t="str"/>
      <x:c r="P13" s="2" t="str"/>
      <x:c r="Q13" s="2" t="str"/>
      <x:c r="R13" s="2" t="str"/>
    </x:row>
    <x:row r="14" ht="90" customHeight="1">
      <x:c r="A14" s="2" t="str">
        <x:v>MD-003</x:v>
      </x:c>
      <x:c r="B14" s="2" t="str">
        <x:v>Master Data</x:v>
      </x:c>
      <x:c r="C14" s="2" t="str">
        <x:v>Customer Detail</x:v>
      </x:c>
      <x:c r="D14" s="2" t="str">
        <x:v>P0</x:v>
      </x:c>
      <x:c r="E14" s="2" t="str">
        <x:v>Positive</x:v>
      </x:c>
      <x:c r="F14" s="2" t="str">
        <x:v>OWNER/OPERASIONAL</x:v>
      </x:c>
      <x:c r="G14" s="2" t="str">
        <x:v>Tambah lokasi pickup dan tujuan customer.</x:v>
      </x:c>
      <x:c r="H14" s="2" t="str">
        <x:v>Customer sudah ada.</x:v>
      </x:c>
      <x:c r="I14" s="2" t="str">
        <x:v>1. Buka detail customer
2. Tambah lokasi ambil
3. Tambah tujuan/penerima
4. Simpan</x:v>
      </x:c>
      <x:c r="J14" s="2" t="str">
        <x:v>Lokasi pickup dan tujuan bisa dipilih saat membuat order; snapshot alamat benar.</x:v>
      </x:c>
      <x:c r="K14" s="2" t="str"/>
      <x:c r="L14" s="2" t="str">
        <x:v>Not Run</x:v>
      </x:c>
      <x:c r="M14" s="2" t="str"/>
      <x:c r="N14" s="2" t="str"/>
      <x:c r="O14" s="2" t="str"/>
      <x:c r="P14" s="2" t="str"/>
      <x:c r="Q14" s="2" t="str"/>
      <x:c r="R14" s="2" t="str"/>
    </x:row>
    <x:row r="15" ht="90" customHeight="1">
      <x:c r="A15" s="2" t="str">
        <x:v>MD-004</x:v>
      </x:c>
      <x:c r="B15" s="2" t="str">
        <x:v>Master Data</x:v>
      </x:c>
      <x:c r="C15" s="2" t="str">
        <x:v>Customer Billing</x:v>
      </x:c>
      <x:c r="D15" s="2" t="str">
        <x:v>P1</x:v>
      </x:c>
      <x:c r="E15" s="2" t="str">
        <x:v>Positive</x:v>
      </x:c>
      <x:c r="F15" s="2" t="str">
        <x:v>OWNER/OPERASIONAL</x:v>
      </x:c>
      <x:c r="G15" s="2" t="str">
        <x:v>Tambah rate billing customer.</x:v>
      </x:c>
      <x:c r="H15" s="2" t="str">
        <x:v>Customer dan service/rute tersedia.</x:v>
      </x:c>
      <x:c r="I15" s="2" t="str">
        <x:v>1. Buka detail customer
2. Tambah billing rate
3. Isi rute, armada, tarif
4. Simpan</x:v>
      </x:c>
      <x:c r="J15" s="2" t="str">
        <x:v>Rate tersimpan dan menjadi referensi tagihan bila dipilih pada DO/nota.</x:v>
      </x:c>
      <x:c r="K15" s="2" t="str"/>
      <x:c r="L15" s="2" t="str">
        <x:v>Not Run</x:v>
      </x:c>
      <x:c r="M15" s="2" t="str"/>
      <x:c r="N15" s="2" t="str"/>
      <x:c r="O15" s="2" t="str"/>
      <x:c r="P15" s="2" t="str"/>
      <x:c r="Q15" s="2" t="str"/>
      <x:c r="R15" s="2" t="str"/>
    </x:row>
    <x:row r="16" ht="90" customHeight="1">
      <x:c r="A16" s="2" t="str">
        <x:v>MD-005</x:v>
      </x:c>
      <x:c r="B16" s="2" t="str">
        <x:v>Master Data</x:v>
      </x:c>
      <x:c r="C16" s="2" t="str">
        <x:v>Customer</x:v>
      </x:c>
      <x:c r="D16" s="2" t="str">
        <x:v>P1</x:v>
      </x:c>
      <x:c r="E16" s="2" t="str">
        <x:v>Negative</x:v>
      </x:c>
      <x:c r="F16" s="2" t="str">
        <x:v>OWNER/OPERASIONAL</x:v>
      </x:c>
      <x:c r="G16" s="2" t="str">
        <x:v>Validasi field wajib customer.</x:v>
      </x:c>
      <x:c r="H16" s="2" t="str">
        <x:v>Login role berhak.</x:v>
      </x:c>
      <x:c r="I16" s="2" t="str">
        <x:v>1. Buat customer tanpa nama
2. Submit</x:v>
      </x:c>
      <x:c r="J16" s="2" t="str">
        <x:v>Submit ditolak dengan pesan validasi; tidak ada customer kosong dibuat.</x:v>
      </x:c>
      <x:c r="K16" s="2" t="str"/>
      <x:c r="L16" s="2" t="str">
        <x:v>Not Run</x:v>
      </x:c>
      <x:c r="M16" s="2" t="str"/>
      <x:c r="N16" s="2" t="str"/>
      <x:c r="O16" s="2" t="str"/>
      <x:c r="P16" s="2" t="str"/>
      <x:c r="Q16" s="2" t="str"/>
      <x:c r="R16" s="2" t="str"/>
    </x:row>
    <x:row r="17" ht="90" customHeight="1">
      <x:c r="A17" s="2" t="str">
        <x:v>MD-006</x:v>
      </x:c>
      <x:c r="B17" s="2" t="str">
        <x:v>Master Data</x:v>
      </x:c>
      <x:c r="C17" s="2" t="str">
        <x:v>Jenis Armada</x:v>
      </x:c>
      <x:c r="D17" s="2" t="str">
        <x:v>P1</x:v>
      </x:c>
      <x:c r="E17" s="2" t="str">
        <x:v>Positive</x:v>
      </x:c>
      <x:c r="F17" s="2" t="str">
        <x:v>OWNER</x:v>
      </x:c>
      <x:c r="G17" s="2" t="str">
        <x:v>CRUD jenis armada/service.</x:v>
      </x:c>
      <x:c r="H17" s="2" t="str">
        <x:v>Login owner.</x:v>
      </x:c>
      <x:c r="I17" s="2" t="str">
        <x:v>1. Buka Jenis Armada
2. Tambah service
3. Edit status/nama
4. Simpan</x:v>
      </x:c>
      <x:c r="J17" s="2" t="str">
        <x:v>Service tersimpan dan muncul pada order/trip sesuai status aktif.</x:v>
      </x:c>
      <x:c r="K17" s="2" t="str"/>
      <x:c r="L17" s="2" t="str">
        <x:v>Not Run</x:v>
      </x:c>
      <x:c r="M17" s="2" t="str"/>
      <x:c r="N17" s="2" t="str"/>
      <x:c r="O17" s="2" t="str"/>
      <x:c r="P17" s="2" t="str"/>
      <x:c r="Q17" s="2" t="str"/>
      <x:c r="R17" s="2" t="str"/>
    </x:row>
    <x:row r="18" ht="90" customHeight="1">
      <x:c r="A18" s="2" t="str">
        <x:v>MD-007</x:v>
      </x:c>
      <x:c r="B18" s="2" t="str">
        <x:v>Master Data</x:v>
      </x:c>
      <x:c r="C18" s="2" t="str">
        <x:v>Biaya Rute Trip</x:v>
      </x:c>
      <x:c r="D18" s="2" t="str">
        <x:v>P0</x:v>
      </x:c>
      <x:c r="E18" s="2" t="str">
        <x:v>Positive</x:v>
      </x:c>
      <x:c r="F18" s="2" t="str">
        <x:v>OWNER</x:v>
      </x:c>
      <x:c r="G18" s="2" t="str">
        <x:v>Tambah biaya rute trip untuk upah/uang jalan.</x:v>
      </x:c>
      <x:c r="H18" s="2" t="str">
        <x:v>Service, rute, customer tersedia.</x:v>
      </x:c>
      <x:c r="I18" s="2" t="str">
        <x:v>1. Buka Biaya Rute Trip
2. Tambah rate
3. Isi asal/tujuan/kategori armada/tarif driver
4. Simpan</x:v>
      </x:c>
      <x:c r="J18" s="2" t="str">
        <x:v>Rate tersedia saat membuat/menentukan DO dan uang jalan mengambil nilai yang sesuai.</x:v>
      </x:c>
      <x:c r="K18" s="2" t="str"/>
      <x:c r="L18" s="2" t="str">
        <x:v>Not Run</x:v>
      </x:c>
      <x:c r="M18" s="2" t="str"/>
      <x:c r="N18" s="2" t="str"/>
      <x:c r="O18" s="2" t="str"/>
      <x:c r="P18" s="2" t="str"/>
      <x:c r="Q18" s="2" t="str"/>
      <x:c r="R18" s="2" t="str"/>
    </x:row>
    <x:row r="19" ht="90" customHeight="1">
      <x:c r="A19" s="2" t="str">
        <x:v>MD-008</x:v>
      </x:c>
      <x:c r="B19" s="2" t="str">
        <x:v>Master Data</x:v>
      </x:c>
      <x:c r="C19" s="2" t="str">
        <x:v>Kategori Biaya</x:v>
      </x:c>
      <x:c r="D19" s="2" t="str">
        <x:v>P1</x:v>
      </x:c>
      <x:c r="E19" s="2" t="str">
        <x:v>Positive</x:v>
      </x:c>
      <x:c r="F19" s="2" t="str">
        <x:v>OWNER/FINANCE</x:v>
      </x:c>
      <x:c r="G19" s="2" t="str">
        <x:v>Tambah kategori biaya.</x:v>
      </x:c>
      <x:c r="H19" s="2" t="str">
        <x:v>Login role berhak.</x:v>
      </x:c>
      <x:c r="I19" s="2" t="str">
        <x:v>1. Buka Kategori Biaya
2. Tambah kategori
3. Set scope operasional/finance
4. Simpan</x:v>
      </x:c>
      <x:c r="J19" s="2" t="str">
        <x:v>Kategori tersedia di expense/uang jalan sesuai scope.</x:v>
      </x:c>
      <x:c r="K19" s="2" t="str"/>
      <x:c r="L19" s="2" t="str">
        <x:v>Not Run</x:v>
      </x:c>
      <x:c r="M19" s="2" t="str"/>
      <x:c r="N19" s="2" t="str"/>
      <x:c r="O19" s="2" t="str"/>
      <x:c r="P19" s="2" t="str"/>
      <x:c r="Q19" s="2" t="str"/>
      <x:c r="R19" s="2" t="str"/>
    </x:row>
    <x:row r="20" ht="90" customHeight="1">
      <x:c r="A20" s="2" t="str">
        <x:v>ORD-001</x:v>
      </x:c>
      <x:c r="B20" s="2" t="str">
        <x:v>Order / Resi</x:v>
      </x:c>
      <x:c r="C20" s="2" t="str">
        <x:v>Create Order</x:v>
      </x:c>
      <x:c r="D20" s="2" t="str">
        <x:v>P0</x:v>
      </x:c>
      <x:c r="E20" s="2" t="str">
        <x:v>E2E</x:v>
      </x:c>
      <x:c r="F20" s="2" t="str">
        <x:v>OWNER/OPERASIONAL</x:v>
      </x:c>
      <x:c r="G20" s="2" t="str">
        <x:v>Buat order dengan customer, pickup, tujuan, dan barang customer.</x:v>
      </x:c>
      <x:c r="H20" s="2" t="str">
        <x:v>Master customer lengkap tersedia.</x:v>
      </x:c>
      <x:c r="I20" s="2" t="str">
        <x:v>1. Buka Order / Resi
2. Klik Buat Order Baru
3. Pilih customer
4. Pilih pickup dan tujuan dari master
5. Pilih barang customer
6. Simpan</x:v>
      </x:c>
      <x:c r="J20" s="2" t="str">
        <x:v>Nomor resi terbentuk, status OPEN, item order menyimpan snapshot qty/berat/volume dan unit input.</x:v>
      </x:c>
      <x:c r="K20" s="2" t="str"/>
      <x:c r="L20" s="2" t="str">
        <x:v>Not Run</x:v>
      </x:c>
      <x:c r="M20" s="2" t="str"/>
      <x:c r="N20" s="2" t="str"/>
      <x:c r="O20" s="2" t="str"/>
      <x:c r="P20" s="2" t="str"/>
      <x:c r="Q20" s="2" t="str"/>
      <x:c r="R20" s="2" t="str"/>
    </x:row>
    <x:row r="21" ht="90" customHeight="1">
      <x:c r="A21" s="2" t="str">
        <x:v>ORD-002</x:v>
      </x:c>
      <x:c r="B21" s="2" t="str">
        <x:v>Order / Resi</x:v>
      </x:c>
      <x:c r="C21" s="2" t="str">
        <x:v>Create Order</x:v>
      </x:c>
      <x:c r="D21" s="2" t="str">
        <x:v>P0</x:v>
      </x:c>
      <x:c r="E21" s="2" t="str">
        <x:v>Positive</x:v>
      </x:c>
      <x:c r="F21" s="2" t="str">
        <x:v>OWNER/OPERASIONAL</x:v>
      </x:c>
      <x:c r="G21" s="2" t="str">
        <x:v>Order multi pickup dan multi trip plan.</x:v>
      </x:c>
      <x:c r="H21" s="2" t="str">
        <x:v>Customer punya &gt;1 pickup.</x:v>
      </x:c>
      <x:c r="I21" s="2" t="str">
        <x:v>1. Buat order
2. Tambah beberapa pickup stop
3. Tambah trip plan per kendaraan/rute
4. Simpan</x:v>
      </x:c>
      <x:c r="J21" s="2" t="str">
        <x:v>Order tersimpan dengan pickupStops dan tripPlan berurutan.</x:v>
      </x:c>
      <x:c r="K21" s="2" t="str"/>
      <x:c r="L21" s="2" t="str">
        <x:v>Not Run</x:v>
      </x:c>
      <x:c r="M21" s="2" t="str"/>
      <x:c r="N21" s="2" t="str"/>
      <x:c r="O21" s="2" t="str"/>
      <x:c r="P21" s="2" t="str"/>
      <x:c r="Q21" s="2" t="str"/>
      <x:c r="R21" s="2" t="str"/>
    </x:row>
    <x:row r="22" ht="90" customHeight="1">
      <x:c r="A22" s="2" t="str">
        <x:v>ORD-003</x:v>
      </x:c>
      <x:c r="B22" s="2" t="str">
        <x:v>Order / Resi</x:v>
      </x:c>
      <x:c r="C22" s="2" t="str">
        <x:v>Edit Order</x:v>
      </x:c>
      <x:c r="D22" s="2" t="str">
        <x:v>P0</x:v>
      </x:c>
      <x:c r="E22" s="2" t="str">
        <x:v>Positive</x:v>
      </x:c>
      <x:c r="F22" s="2" t="str">
        <x:v>OWNER/OPERASIONAL</x:v>
      </x:c>
      <x:c r="G22" s="2" t="str">
        <x:v>Edit order sebelum punya DO.</x:v>
      </x:c>
      <x:c r="H22" s="2" t="str">
        <x:v>Order OPEN belum punya DO.</x:v>
      </x:c>
      <x:c r="I22" s="2" t="str">
        <x:v>1. Buka detail/edit order
2. Ubah customer/tujuan/pickup/item
3. Simpan</x:v>
      </x:c>
      <x:c r="J22" s="2" t="str">
        <x:v>Perubahan tersimpan karena belum ada DO turunan.</x:v>
      </x:c>
      <x:c r="K22" s="2" t="str"/>
      <x:c r="L22" s="2" t="str">
        <x:v>Not Run</x:v>
      </x:c>
      <x:c r="M22" s="2" t="str"/>
      <x:c r="N22" s="2" t="str"/>
      <x:c r="O22" s="2" t="str"/>
      <x:c r="P22" s="2" t="str"/>
      <x:c r="Q22" s="2" t="str"/>
      <x:c r="R22" s="2" t="str"/>
    </x:row>
    <x:row r="23" ht="90" customHeight="1">
      <x:c r="A23" s="2" t="str">
        <x:v>ORD-004</x:v>
      </x:c>
      <x:c r="B23" s="2" t="str">
        <x:v>Order / Resi</x:v>
      </x:c>
      <x:c r="C23" s="2" t="str">
        <x:v>Lock Order</x:v>
      </x:c>
      <x:c r="D23" s="2" t="str">
        <x:v>P0</x:v>
      </x:c>
      <x:c r="E23" s="2" t="str">
        <x:v>Negative</x:v>
      </x:c>
      <x:c r="F23" s="2" t="str">
        <x:v>OWNER/OPERASIONAL</x:v>
      </x:c>
      <x:c r="G23" s="2" t="str">
        <x:v>Field utama order terkunci setelah ada DO.</x:v>
      </x:c>
      <x:c r="H23" s="2" t="str">
        <x:v>Order sudah punya minimal satu DO.</x:v>
      </x:c>
      <x:c r="I23" s="2" t="str">
        <x:v>1. Buka edit order
2. Coba ubah customer/tujuan/pickup
3. Simpan</x:v>
      </x:c>
      <x:c r="J23" s="2" t="str">
        <x:v>Perubahan field utama ditolak atau field disabled; catatan masih boleh diubah.</x:v>
      </x:c>
      <x:c r="K23" s="2" t="str"/>
      <x:c r="L23" s="2" t="str">
        <x:v>Not Run</x:v>
      </x:c>
      <x:c r="M23" s="2" t="str"/>
      <x:c r="N23" s="2" t="str"/>
      <x:c r="O23" s="2" t="str"/>
      <x:c r="P23" s="2" t="str"/>
      <x:c r="Q23" s="2" t="str"/>
      <x:c r="R23" s="2" t="str"/>
    </x:row>
    <x:row r="24" ht="90" customHeight="1">
      <x:c r="A24" s="2" t="str">
        <x:v>ORD-005</x:v>
      </x:c>
      <x:c r="B24" s="2" t="str">
        <x:v>Order / Resi</x:v>
      </x:c>
      <x:c r="C24" s="2" t="str">
        <x:v>Partial Qty</x:v>
      </x:c>
      <x:c r="D24" s="2" t="str">
        <x:v>P0</x:v>
      </x:c>
      <x:c r="E24" s="2" t="str">
        <x:v>E2E</x:v>
      </x:c>
      <x:c r="F24" s="2" t="str">
        <x:v>OWNER/OPERASIONAL</x:v>
      </x:c>
      <x:c r="G24" s="2" t="str">
        <x:v>Order item dikirim parsial per qty.</x:v>
      </x:c>
      <x:c r="H24" s="2" t="str">
        <x:v>Order punya item qty besar.</x:v>
      </x:c>
      <x:c r="I24" s="2" t="str">
        <x:v>1. Buat DO hanya sebagian qty/berat
2. Simpan DO
3. Lihat progress item order</x:v>
      </x:c>
      <x:c r="J24" s="2" t="str">
        <x:v>Assigned/delivered/pending/held qty dihitung benar; sisa masih bisa dibuat DO berikutnya.</x:v>
      </x:c>
      <x:c r="K24" s="2" t="str"/>
      <x:c r="L24" s="2" t="str">
        <x:v>Not Run</x:v>
      </x:c>
      <x:c r="M24" s="2" t="str"/>
      <x:c r="N24" s="2" t="str"/>
      <x:c r="O24" s="2" t="str"/>
      <x:c r="P24" s="2" t="str"/>
      <x:c r="Q24" s="2" t="str"/>
      <x:c r="R24" s="2" t="str"/>
    </x:row>
    <x:row r="25" ht="90" customHeight="1">
      <x:c r="A25" s="2" t="str">
        <x:v>ORD-006</x:v>
      </x:c>
      <x:c r="B25" s="2" t="str">
        <x:v>Order / Resi</x:v>
      </x:c>
      <x:c r="C25" s="2" t="str">
        <x:v>Hold Item</x:v>
      </x:c>
      <x:c r="D25" s="2" t="str">
        <x:v>P0</x:v>
      </x:c>
      <x:c r="E25" s="2" t="str">
        <x:v>Positive</x:v>
      </x:c>
      <x:c r="F25" s="2" t="str">
        <x:v>OWNER/OPERASIONAL</x:v>
      </x:c>
      <x:c r="G25" s="2" t="str">
        <x:v>Hold sebagian sisa item order.</x:v>
      </x:c>
      <x:c r="H25" s="2" t="str">
        <x:v>Order punya sisa pending.</x:v>
      </x:c>
      <x:c r="I25" s="2" t="str">
        <x:v>1. Buka detail order
2. Hold sebagian qty
3. Isi alasan/lokasi
4. Simpan</x:v>
      </x:c>
      <x:c r="J25" s="2" t="str">
        <x:v>Qty held tercatat; status order ON_HOLD/PARTIAL sesuai kombinasi item.</x:v>
      </x:c>
      <x:c r="K25" s="2" t="str"/>
      <x:c r="L25" s="2" t="str">
        <x:v>Not Run</x:v>
      </x:c>
      <x:c r="M25" s="2" t="str"/>
      <x:c r="N25" s="2" t="str"/>
      <x:c r="O25" s="2" t="str"/>
      <x:c r="P25" s="2" t="str"/>
      <x:c r="Q25" s="2" t="str"/>
      <x:c r="R25" s="2" t="str"/>
    </x:row>
    <x:row r="26" ht="90" customHeight="1">
      <x:c r="A26" s="2" t="str">
        <x:v>ORD-007</x:v>
      </x:c>
      <x:c r="B26" s="2" t="str">
        <x:v>Order / Resi</x:v>
      </x:c>
      <x:c r="C26" s="2" t="str">
        <x:v>Release Hold</x:v>
      </x:c>
      <x:c r="D26" s="2" t="str">
        <x:v>P0</x:v>
      </x:c>
      <x:c r="E26" s="2" t="str">
        <x:v>Positive</x:v>
      </x:c>
      <x:c r="F26" s="2" t="str">
        <x:v>OWNER/OPERASIONAL</x:v>
      </x:c>
      <x:c r="G26" s="2" t="str">
        <x:v>Lepas hold menjadi pending lagi.</x:v>
      </x:c>
      <x:c r="H26" s="2" t="str">
        <x:v>Item order punya held qty.</x:v>
      </x:c>
      <x:c r="I26" s="2" t="str">
        <x:v>1. Buka detail order
2. Release hold
3. Simpan</x:v>
      </x:c>
      <x:c r="J26" s="2" t="str">
        <x:v>Qty held turun, pending naik, bisa dibuat DO baru.</x:v>
      </x:c>
      <x:c r="K26" s="2" t="str"/>
      <x:c r="L26" s="2" t="str">
        <x:v>Not Run</x:v>
      </x:c>
      <x:c r="M26" s="2" t="str"/>
      <x:c r="N26" s="2" t="str"/>
      <x:c r="O26" s="2" t="str"/>
      <x:c r="P26" s="2" t="str"/>
      <x:c r="Q26" s="2" t="str"/>
      <x:c r="R26" s="2" t="str"/>
    </x:row>
    <x:row r="27" ht="90" customHeight="1">
      <x:c r="A27" s="2" t="str">
        <x:v>ORD-008</x:v>
      </x:c>
      <x:c r="B27" s="2" t="str">
        <x:v>Order / Resi</x:v>
      </x:c>
      <x:c r="C27" s="2" t="str">
        <x:v>Delete Order</x:v>
      </x:c>
      <x:c r="D27" s="2" t="str">
        <x:v>P1</x:v>
      </x:c>
      <x:c r="E27" s="2" t="str">
        <x:v>Negative</x:v>
      </x:c>
      <x:c r="F27" s="2" t="str">
        <x:v>OWNER/OPERASIONAL</x:v>
      </x:c>
      <x:c r="G27" s="2" t="str">
        <x:v>Order yang sudah punya DO tidak boleh dihapus.</x:v>
      </x:c>
      <x:c r="H27" s="2" t="str">
        <x:v>Order sudah punya DO.</x:v>
      </x:c>
      <x:c r="I27" s="2" t="str">
        <x:v>1. Buka order
2. Klik hapus</x:v>
      </x:c>
      <x:c r="J27" s="2" t="str">
        <x:v>Hapus ditolak; data DO/nota tidak orphan.</x:v>
      </x:c>
      <x:c r="K27" s="2" t="str"/>
      <x:c r="L27" s="2" t="str">
        <x:v>Not Run</x:v>
      </x:c>
      <x:c r="M27" s="2" t="str"/>
      <x:c r="N27" s="2" t="str"/>
      <x:c r="O27" s="2" t="str"/>
      <x:c r="P27" s="2" t="str"/>
      <x:c r="Q27" s="2" t="str"/>
      <x:c r="R27" s="2" t="str"/>
    </x:row>
    <x:row r="28" ht="90" customHeight="1">
      <x:c r="A28" s="2" t="str">
        <x:v>ORD-009</x:v>
      </x:c>
      <x:c r="B28" s="2" t="str">
        <x:v>Order / Resi</x:v>
      </x:c>
      <x:c r="C28" s="2" t="str">
        <x:v>Cancel Order</x:v>
      </x:c>
      <x:c r="D28" s="2" t="str">
        <x:v>P1</x:v>
      </x:c>
      <x:c r="E28" s="2" t="str">
        <x:v>Positive/Negative</x:v>
      </x:c>
      <x:c r="F28" s="2" t="str">
        <x:v>OWNER/OPERASIONAL</x:v>
      </x:c>
      <x:c r="G28" s="2" t="str">
        <x:v>Cancel order hanya valid saat belum mengganggu dokumen turunan final.</x:v>
      </x:c>
      <x:c r="H28" s="2" t="str">
        <x:v>Siapkan order tanpa dokumen final dan order dengan dokumen final.</x:v>
      </x:c>
      <x:c r="I28" s="2" t="str">
        <x:v>1. Coba cancel order tanpa turunan final
2. Coba cancel order dengan DO/nota final</x:v>
      </x:c>
      <x:c r="J28" s="2" t="str">
        <x:v>Kasus valid berhasil; kasus terkunci ditolak dengan pesan jelas.</x:v>
      </x:c>
      <x:c r="K28" s="2" t="str"/>
      <x:c r="L28" s="2" t="str">
        <x:v>Not Run</x:v>
      </x:c>
      <x:c r="M28" s="2" t="str"/>
      <x:c r="N28" s="2" t="str"/>
      <x:c r="O28" s="2" t="str"/>
      <x:c r="P28" s="2" t="str"/>
      <x:c r="Q28" s="2" t="str"/>
      <x:c r="R28" s="2" t="str"/>
    </x:row>
    <x:row r="29" ht="90" customHeight="1">
      <x:c r="A29" s="2" t="str">
        <x:v>DO-001</x:v>
      </x:c>
      <x:c r="B29" s="2" t="str">
        <x:v>Trip / DO / Surat Jalan</x:v>
      </x:c>
      <x:c r="C29" s="2" t="str">
        <x:v>Create DO</x:v>
      </x:c>
      <x:c r="D29" s="2" t="str">
        <x:v>P0</x:v>
      </x:c>
      <x:c r="E29" s="2" t="str">
        <x:v>E2E</x:v>
      </x:c>
      <x:c r="F29" s="2" t="str">
        <x:v>OWNER/OPERASIONAL</x:v>
      </x:c>
      <x:c r="G29" s="2" t="str">
        <x:v>Buat DO dari order dengan satu SJ dan barang.</x:v>
      </x:c>
      <x:c r="H29" s="2" t="str">
        <x:v>Order OPEN dengan item pending.</x:v>
      </x:c>
      <x:c r="I29" s="2" t="str">
        <x:v>1. Buka detail order
2. Klik Buat Surat Jalan
3. Pilih item, kendaraan, driver, SJ
4. Simpan</x:v>
      </x:c>
      <x:c r="J29" s="2" t="str">
        <x:v>DO CREATED, item order assigned, suratJalan record terbentuk, resource driver/kendaraan terkunci.</x:v>
      </x:c>
      <x:c r="K29" s="2" t="str"/>
      <x:c r="L29" s="2" t="str">
        <x:v>Not Run</x:v>
      </x:c>
      <x:c r="M29" s="2" t="str"/>
      <x:c r="N29" s="2" t="str"/>
      <x:c r="O29" s="2" t="str"/>
      <x:c r="P29" s="2" t="str"/>
      <x:c r="Q29" s="2" t="str"/>
      <x:c r="R29" s="2" t="str"/>
    </x:row>
    <x:row r="30" ht="90" customHeight="1">
      <x:c r="A30" s="2" t="str">
        <x:v>DO-002</x:v>
      </x:c>
      <x:c r="B30" s="2" t="str">
        <x:v>Trip / DO / Surat Jalan</x:v>
      </x:c>
      <x:c r="C30" s="2" t="str">
        <x:v>Multi SJ</x:v>
      </x:c>
      <x:c r="D30" s="2" t="str">
        <x:v>P0</x:v>
      </x:c>
      <x:c r="E30" s="2" t="str">
        <x:v>Positive</x:v>
      </x:c>
      <x:c r="F30" s="2" t="str">
        <x:v>OWNER/OPERASIONAL</x:v>
      </x:c>
      <x:c r="G30" s="2" t="str">
        <x:v>Buat DO dengan banyak SJ dan banyak barang.</x:v>
      </x:c>
      <x:c r="H30" s="2" t="str">
        <x:v>Order punya beberapa item/pickup.</x:v>
      </x:c>
      <x:c r="I30" s="2" t="str">
        <x:v>1. Buat DO
2. Tambah &gt;1 SJ
3. Mapping barang ke tiap SJ
4. Simpan</x:v>
      </x:c>
      <x:c r="J30" s="2" t="str">
        <x:v>Setiap SJ punya record, item terkait ke shipperReference benar.</x:v>
      </x:c>
      <x:c r="K30" s="2" t="str"/>
      <x:c r="L30" s="2" t="str">
        <x:v>Not Run</x:v>
      </x:c>
      <x:c r="M30" s="2" t="str"/>
      <x:c r="N30" s="2" t="str"/>
      <x:c r="O30" s="2" t="str"/>
      <x:c r="P30" s="2" t="str"/>
      <x:c r="Q30" s="2" t="str"/>
      <x:c r="R30" s="2" t="str"/>
    </x:row>
    <x:row r="31" ht="90" customHeight="1">
      <x:c r="A31" s="2" t="str">
        <x:v>DO-003</x:v>
      </x:c>
      <x:c r="B31" s="2" t="str">
        <x:v>Trip / DO / Surat Jalan</x:v>
      </x:c>
      <x:c r="C31" s="2" t="str">
        <x:v>Unassigned DO</x:v>
      </x:c>
      <x:c r="D31" s="2" t="str">
        <x:v>P0</x:v>
      </x:c>
      <x:c r="E31" s="2" t="str">
        <x:v>Positive</x:v>
      </x:c>
      <x:c r="F31" s="2" t="str">
        <x:v>OWNER/OPERASIONAL</x:v>
      </x:c>
      <x:c r="G31" s="2" t="str">
        <x:v>Buat DO tanpa supir lalu lengkapi armada.</x:v>
      </x:c>
      <x:c r="H31" s="2" t="str">
        <x:v>Order tersedia.</x:v>
      </x:c>
      <x:c r="I31" s="2" t="str">
        <x:v>1. Buat DO tanpa driver
2. Buka detail DO
3. Lengkapi supir/kendaraan
4. Simpan</x:v>
      </x:c>
      <x:c r="J31" s="2" t="str">
        <x:v>DO bisa dibuat, lalu driver/kendaraan tersimpan dan muncul di app driver setelah lengkap.</x:v>
      </x:c>
      <x:c r="K31" s="2" t="str"/>
      <x:c r="L31" s="2" t="str">
        <x:v>Not Run</x:v>
      </x:c>
      <x:c r="M31" s="2" t="str"/>
      <x:c r="N31" s="2" t="str"/>
      <x:c r="O31" s="2" t="str"/>
      <x:c r="P31" s="2" t="str"/>
      <x:c r="Q31" s="2" t="str"/>
      <x:c r="R31" s="2" t="str"/>
    </x:row>
    <x:row r="32" ht="90" customHeight="1">
      <x:c r="A32" s="2" t="str">
        <x:v>DO-004</x:v>
      </x:c>
      <x:c r="B32" s="2" t="str">
        <x:v>Trip / DO / Surat Jalan</x:v>
      </x:c>
      <x:c r="C32" s="2" t="str">
        <x:v>Resource Lock</x:v>
      </x:c>
      <x:c r="D32" s="2" t="str">
        <x:v>P0</x:v>
      </x:c>
      <x:c r="E32" s="2" t="str">
        <x:v>Negative</x:v>
      </x:c>
      <x:c r="F32" s="2" t="str">
        <x:v>OWNER/OPERASIONAL/ARMADA</x:v>
      </x:c>
      <x:c r="G32" s="2" t="str">
        <x:v>Supir/kendaraan aktif tidak boleh dipakai dobel.</x:v>
      </x:c>
      <x:c r="H32" s="2" t="str">
        <x:v>Ada DO aktif memakai driver/kendaraan.</x:v>
      </x:c>
      <x:c r="I32" s="2" t="str">
        <x:v>1. Buat DO baru
2. Pilih driver/kendaraan yang sedang aktif</x:v>
      </x:c>
      <x:c r="J32" s="2" t="str">
        <x:v>Pilihan tidak tersedia atau submit ditolak; tidak ada double booking.</x:v>
      </x:c>
      <x:c r="K32" s="2" t="str"/>
      <x:c r="L32" s="2" t="str">
        <x:v>Not Run</x:v>
      </x:c>
      <x:c r="M32" s="2" t="str"/>
      <x:c r="N32" s="2" t="str"/>
      <x:c r="O32" s="2" t="str"/>
      <x:c r="P32" s="2" t="str"/>
      <x:c r="Q32" s="2" t="str"/>
      <x:c r="R32" s="2" t="str"/>
    </x:row>
    <x:row r="33" ht="90" customHeight="1">
      <x:c r="A33" s="2" t="str">
        <x:v>DO-005</x:v>
      </x:c>
      <x:c r="B33" s="2" t="str">
        <x:v>Trip / DO / Surat Jalan</x:v>
      </x:c>
      <x:c r="C33" s="2" t="str">
        <x:v>Status Progress</x:v>
      </x:c>
      <x:c r="D33" s="2" t="str">
        <x:v>P0</x:v>
      </x:c>
      <x:c r="E33" s="2" t="str">
        <x:v>Positive</x:v>
      </x:c>
      <x:c r="F33" s="2" t="str">
        <x:v>OWNER/OPERASIONAL</x:v>
      </x:c>
      <x:c r="G33" s="2" t="str">
        <x:v>Ubah status DO CREATED -&gt; HEADING_TO_PICKUP -&gt; ON_DELIVERY -&gt; ARRIVED.</x:v>
      </x:c>
      <x:c r="H33" s="2" t="str">
        <x:v>DO aktif.</x:v>
      </x:c>
      <x:c r="I33" s="2" t="str">
        <x:v>1. Buka detail DO
2. Ubah status bertahap
3. Cek order item/status trip</x:v>
      </x:c>
      <x:c r="J33" s="2" t="str">
        <x:v>Status DO, trip, order item, tracking log sinkron.</x:v>
      </x:c>
      <x:c r="K33" s="2" t="str"/>
      <x:c r="L33" s="2" t="str">
        <x:v>Not Run</x:v>
      </x:c>
      <x:c r="M33" s="2" t="str"/>
      <x:c r="N33" s="2" t="str"/>
      <x:c r="O33" s="2" t="str"/>
      <x:c r="P33" s="2" t="str"/>
      <x:c r="Q33" s="2" t="str"/>
      <x:c r="R33" s="2" t="str"/>
    </x:row>
    <x:row r="34" ht="90" customHeight="1">
      <x:c r="A34" s="2" t="str">
        <x:v>DO-006</x:v>
      </x:c>
      <x:c r="B34" s="2" t="str">
        <x:v>Trip / DO / Surat Jalan</x:v>
      </x:c>
      <x:c r="C34" s="2" t="str">
        <x:v>Admin Final</x:v>
      </x:c>
      <x:c r="D34" s="2" t="str">
        <x:v>P0</x:v>
      </x:c>
      <x:c r="E34" s="2" t="str">
        <x:v>E2E</x:v>
      </x:c>
      <x:c r="F34" s="2" t="str">
        <x:v>OWNER/OPERASIONAL</x:v>
      </x:c>
      <x:c r="G34" s="2" t="str">
        <x:v>Admin finalisasi DO ke DELIVERED dengan POD, aktual, dan drop.</x:v>
      </x:c>
      <x:c r="H34" s="2" t="str">
        <x:v>DO ARRIVED/ON_DELIVERY.</x:v>
      </x:c>
      <x:c r="I34" s="2" t="str">
        <x:v>1. Buka detail DO
2. Pilih DELIVERED
3. Isi POD receiver/date
4. Isi aktual barang
5. Isi titik drop
6. Simpan</x:v>
      </x:c>
      <x:c r="J34" s="2" t="str">
        <x:v>DO DELIVERED, POD final, actual item/drop tersimpan, order progress sinkron.</x:v>
      </x:c>
      <x:c r="K34" s="2" t="str"/>
      <x:c r="L34" s="2" t="str">
        <x:v>Not Run</x:v>
      </x:c>
      <x:c r="M34" s="2" t="str"/>
      <x:c r="N34" s="2" t="str"/>
      <x:c r="O34" s="2" t="str"/>
      <x:c r="P34" s="2" t="str"/>
      <x:c r="Q34" s="2" t="str"/>
      <x:c r="R34" s="2" t="str"/>
    </x:row>
    <x:row r="35" ht="90" customHeight="1">
      <x:c r="A35" s="2" t="str">
        <x:v>DO-007</x:v>
      </x:c>
      <x:c r="B35" s="2" t="str">
        <x:v>Trip / DO / Surat Jalan</x:v>
      </x:c>
      <x:c r="C35" s="2" t="str">
        <x:v>Drop Mismatch Guard</x:v>
      </x:c>
      <x:c r="D35" s="2" t="str">
        <x:v>P0</x:v>
      </x:c>
      <x:c r="E35" s="2" t="str">
        <x:v>Negative</x:v>
      </x:c>
      <x:c r="F35" s="2" t="str">
        <x:v>OWNER/OPERASIONAL</x:v>
      </x:c>
      <x:c r="G35" s="2" t="str">
        <x:v>Total titik drop harus sama dengan aktual barang.</x:v>
      </x:c>
      <x:c r="H35" s="2" t="str">
        <x:v>DO siap final.</x:v>
      </x:c>
      <x:c r="I35" s="2" t="str">
        <x:v>1. Isi aktual barang 100
2. Isi drop total 90 atau 110
3. Submit final</x:v>
      </x:c>
      <x:c r="J35" s="2" t="str">
        <x:v>Submit ditolak; pesan mismatch jelas; tidak ada finalisasi parsial.</x:v>
      </x:c>
      <x:c r="K35" s="2" t="str"/>
      <x:c r="L35" s="2" t="str">
        <x:v>Not Run</x:v>
      </x:c>
      <x:c r="M35" s="2" t="str"/>
      <x:c r="N35" s="2" t="str"/>
      <x:c r="O35" s="2" t="str"/>
      <x:c r="P35" s="2" t="str"/>
      <x:c r="Q35" s="2" t="str"/>
      <x:c r="R35" s="2" t="str"/>
    </x:row>
    <x:row r="36" ht="90" customHeight="1">
      <x:c r="A36" s="2" t="str">
        <x:v>DO-008</x:v>
      </x:c>
      <x:c r="B36" s="2" t="str">
        <x:v>Trip / DO / Surat Jalan</x:v>
      </x:c>
      <x:c r="C36" s="2" t="str">
        <x:v>Actual Bigger Than Plan</x:v>
      </x:c>
      <x:c r="D36" s="2" t="str">
        <x:v>P0</x:v>
      </x:c>
      <x:c r="E36" s="2" t="str">
        <x:v>Edge</x:v>
      </x:c>
      <x:c r="F36" s="2" t="str">
        <x:v>OWNER/OPERASIONAL</x:v>
      </x:c>
      <x:c r="G36" s="2" t="str">
        <x:v>Aktual lebih besar dari estimasi tidak terpotong palsu.</x:v>
      </x:c>
      <x:c r="H36" s="2" t="str">
        <x:v>DO punya estimasi lebih kecil.</x:v>
      </x:c>
      <x:c r="I36" s="2" t="str">
        <x:v>1. Finalisasi DO dengan berat aktual &gt; rencana
2. Cek order item dan nota eligibility</x:v>
      </x:c>
      <x:c r="J36" s="2" t="str">
        <x:v>Order item dinaikkan secukupnya; nota memakai aktual final.</x:v>
      </x:c>
      <x:c r="K36" s="2" t="str"/>
      <x:c r="L36" s="2" t="str">
        <x:v>Not Run</x:v>
      </x:c>
      <x:c r="M36" s="2" t="str"/>
      <x:c r="N36" s="2" t="str"/>
      <x:c r="O36" s="2" t="str"/>
      <x:c r="P36" s="2" t="str"/>
      <x:c r="Q36" s="2" t="str"/>
      <x:c r="R36" s="2" t="str"/>
    </x:row>
    <x:row r="37" ht="90" customHeight="1">
      <x:c r="A37" s="2" t="str">
        <x:v>DO-009</x:v>
      </x:c>
      <x:c r="B37" s="2" t="str">
        <x:v>Trip / DO / Surat Jalan</x:v>
      </x:c>
      <x:c r="C37" s="2" t="str">
        <x:v>Edit SJ Before Final</x:v>
      </x:c>
      <x:c r="D37" s="2" t="str">
        <x:v>P0</x:v>
      </x:c>
      <x:c r="E37" s="2" t="str">
        <x:v>Positive</x:v>
      </x:c>
      <x:c r="F37" s="2" t="str">
        <x:v>OWNER/OPERASIONAL</x:v>
      </x:c>
      <x:c r="G37" s="2" t="str">
        <x:v>Edit nomor SJ sebelum final/nota/borongan.</x:v>
      </x:c>
      <x:c r="H37" s="2" t="str">
        <x:v>DO belum final dan belum masuk nota.</x:v>
      </x:c>
      <x:c r="I37" s="2" t="str">
        <x:v>1. Buka detail DO
2. Edit nomor SJ
3. Simpan
4. Cek surat jalan dan item</x:v>
      </x:c>
      <x:c r="J37" s="2" t="str">
        <x:v>Nomor SJ berubah, item dan suratJalan record ikut sinkron, tidak ada stale record.</x:v>
      </x:c>
      <x:c r="K37" s="2" t="str"/>
      <x:c r="L37" s="2" t="str">
        <x:v>Not Run</x:v>
      </x:c>
      <x:c r="M37" s="2" t="str"/>
      <x:c r="N37" s="2" t="str"/>
      <x:c r="O37" s="2" t="str"/>
      <x:c r="P37" s="2" t="str"/>
      <x:c r="Q37" s="2" t="str"/>
      <x:c r="R37" s="2" t="str"/>
    </x:row>
    <x:row r="38" ht="90" customHeight="1">
      <x:c r="A38" s="2" t="str">
        <x:v>DO-010</x:v>
      </x:c>
      <x:c r="B38" s="2" t="str">
        <x:v>Trip / DO / Surat Jalan</x:v>
      </x:c>
      <x:c r="C38" s="2" t="str">
        <x:v>Add SJ Before Final</x:v>
      </x:c>
      <x:c r="D38" s="2" t="str">
        <x:v>P0</x:v>
      </x:c>
      <x:c r="E38" s="2" t="str">
        <x:v>Positive</x:v>
      </x:c>
      <x:c r="F38" s="2" t="str">
        <x:v>OWNER/OPERASIONAL</x:v>
      </x:c>
      <x:c r="G38" s="2" t="str">
        <x:v>Tambah SJ dan barang di tengah jalan.</x:v>
      </x:c>
      <x:c r="H38" s="2" t="str">
        <x:v>DO aktif belum final.</x:v>
      </x:c>
      <x:c r="I38" s="2" t="str">
        <x:v>1. Buka detail DO
2. Tambah SJ
3. Tambah barang/mapping pickup
4. Simpan</x:v>
      </x:c>
      <x:c r="J38" s="2" t="str">
        <x:v>SJ baru CREATED, barang baru terkait ke DO/order, bisa ikut finalisasi.</x:v>
      </x:c>
      <x:c r="K38" s="2" t="str"/>
      <x:c r="L38" s="2" t="str">
        <x:v>Not Run</x:v>
      </x:c>
      <x:c r="M38" s="2" t="str"/>
      <x:c r="N38" s="2" t="str"/>
      <x:c r="O38" s="2" t="str"/>
      <x:c r="P38" s="2" t="str"/>
      <x:c r="Q38" s="2" t="str"/>
      <x:c r="R38" s="2" t="str"/>
    </x:row>
    <x:row r="39" ht="90" customHeight="1">
      <x:c r="A39" s="2" t="str">
        <x:v>DO-011</x:v>
      </x:c>
      <x:c r="B39" s="2" t="str">
        <x:v>Trip / DO / Surat Jalan</x:v>
      </x:c>
      <x:c r="C39" s="2" t="str">
        <x:v>Delete SJ Before Final</x:v>
      </x:c>
      <x:c r="D39" s="2" t="str">
        <x:v>P0</x:v>
      </x:c>
      <x:c r="E39" s="2" t="str">
        <x:v>Positive</x:v>
      </x:c>
      <x:c r="F39" s="2" t="str">
        <x:v>OWNER/OPERASIONAL</x:v>
      </x:c>
      <x:c r="G39" s="2" t="str">
        <x:v>Hapus SJ tambahan sebelum final.</x:v>
      </x:c>
      <x:c r="H39" s="2" t="str">
        <x:v>DO aktif punya &gt;1 SJ.</x:v>
      </x:c>
      <x:c r="I39" s="2" t="str">
        <x:v>1. Buka detail DO
2. Hapus salah satu SJ
3. Simpan</x:v>
      </x:c>
      <x:c r="J39" s="2" t="str">
        <x:v>SJ terhapus, barang terkait ikut bersih bila memang draft/DO-sourced, tidak ada suratJalan stale.</x:v>
      </x:c>
      <x:c r="K39" s="2" t="str"/>
      <x:c r="L39" s="2" t="str">
        <x:v>Not Run</x:v>
      </x:c>
      <x:c r="M39" s="2" t="str"/>
      <x:c r="N39" s="2" t="str"/>
      <x:c r="O39" s="2" t="str"/>
      <x:c r="P39" s="2" t="str"/>
      <x:c r="Q39" s="2" t="str"/>
      <x:c r="R39" s="2" t="str"/>
    </x:row>
    <x:row r="40" ht="90" customHeight="1">
      <x:c r="A40" s="2" t="str">
        <x:v>DO-012</x:v>
      </x:c>
      <x:c r="B40" s="2" t="str">
        <x:v>Trip / DO / Surat Jalan</x:v>
      </x:c>
      <x:c r="C40" s="2" t="str">
        <x:v>SJ Lock After Nota</x:v>
      </x:c>
      <x:c r="D40" s="2" t="str">
        <x:v>P0</x:v>
      </x:c>
      <x:c r="E40" s="2" t="str">
        <x:v>Negative</x:v>
      </x:c>
      <x:c r="F40" s="2" t="str">
        <x:v>OWNER/OPERASIONAL</x:v>
      </x:c>
      <x:c r="G40" s="2" t="str">
        <x:v>SJ yang sudah masuk nota tidak boleh diubah.</x:v>
      </x:c>
      <x:c r="H40" s="2" t="str">
        <x:v>DO sudah masuk nota.</x:v>
      </x:c>
      <x:c r="I40" s="2" t="str">
        <x:v>1. Buka DO
2. Coba edit/hapus SJ
3. Simpan</x:v>
      </x:c>
      <x:c r="J40" s="2" t="str">
        <x:v>Ditolak dengan pesan bahwa DO sudah masuk invoice/nota.</x:v>
      </x:c>
      <x:c r="K40" s="2" t="str"/>
      <x:c r="L40" s="2" t="str">
        <x:v>Not Run</x:v>
      </x:c>
      <x:c r="M40" s="2" t="str"/>
      <x:c r="N40" s="2" t="str"/>
      <x:c r="O40" s="2" t="str"/>
      <x:c r="P40" s="2" t="str"/>
      <x:c r="Q40" s="2" t="str"/>
      <x:c r="R40" s="2" t="str"/>
    </x:row>
    <x:row r="41" ht="90" customHeight="1">
      <x:c r="A41" s="2" t="str">
        <x:v>DO-013</x:v>
      </x:c>
      <x:c r="B41" s="2" t="str">
        <x:v>Trip / DO / Surat Jalan</x:v>
      </x:c>
      <x:c r="C41" s="2" t="str">
        <x:v>Pending Approval Lock</x:v>
      </x:c>
      <x:c r="D41" s="2" t="str">
        <x:v>P0</x:v>
      </x:c>
      <x:c r="E41" s="2" t="str">
        <x:v>Negative</x:v>
      </x:c>
      <x:c r="F41" s="2" t="str">
        <x:v>OWNER/OPERASIONAL/DRIVER</x:v>
      </x:c>
      <x:c r="G41" s="2" t="str">
        <x:v>SJ/barang tidak bisa diubah saat ada pending approval driver.</x:v>
      </x:c>
      <x:c r="H41" s="2" t="str">
        <x:v>Driver sudah ajukan selesai/tutup trip.</x:v>
      </x:c>
      <x:c r="I41" s="2" t="str">
        <x:v>1. Dari mobile ajukan selesai
2. Admin belum approve
3. Coba edit SJ/barang</x:v>
      </x:c>
      <x:c r="J41" s="2" t="str">
        <x:v>Edit ditolak sampai admin approve/reject request.</x:v>
      </x:c>
      <x:c r="K41" s="2" t="str"/>
      <x:c r="L41" s="2" t="str">
        <x:v>Not Run</x:v>
      </x:c>
      <x:c r="M41" s="2" t="str"/>
      <x:c r="N41" s="2" t="str"/>
      <x:c r="O41" s="2" t="str"/>
      <x:c r="P41" s="2" t="str"/>
      <x:c r="Q41" s="2" t="str"/>
      <x:c r="R41" s="2" t="str"/>
    </x:row>
    <x:row r="42" ht="90" customHeight="1">
      <x:c r="A42" s="2" t="str">
        <x:v>DO-014</x:v>
      </x:c>
      <x:c r="B42" s="2" t="str">
        <x:v>Trip / DO / Surat Jalan</x:v>
      </x:c>
      <x:c r="C42" s="2" t="str">
        <x:v>Trip Closed Lock</x:v>
      </x:c>
      <x:c r="D42" s="2" t="str">
        <x:v>P0</x:v>
      </x:c>
      <x:c r="E42" s="2" t="str">
        <x:v>Negative</x:v>
      </x:c>
      <x:c r="F42" s="2" t="str">
        <x:v>OWNER/OPERASIONAL</x:v>
      </x:c>
      <x:c r="G42" s="2" t="str">
        <x:v>Trip yang sudah ditutup admin tidak bisa ubah SJ/barang.</x:v>
      </x:c>
      <x:c r="H42" s="2" t="str">
        <x:v>Trip closed by admin.</x:v>
      </x:c>
      <x:c r="I42" s="2" t="str">
        <x:v>1. Buka DO closed
2. Coba ubah SJ/barang</x:v>
      </x:c>
      <x:c r="J42" s="2" t="str">
        <x:v>Ditolak; harus buka kembali trip lewat workflow admin jika memang perlu.</x:v>
      </x:c>
      <x:c r="K42" s="2" t="str"/>
      <x:c r="L42" s="2" t="str">
        <x:v>Not Run</x:v>
      </x:c>
      <x:c r="M42" s="2" t="str"/>
      <x:c r="N42" s="2" t="str"/>
      <x:c r="O42" s="2" t="str"/>
      <x:c r="P42" s="2" t="str"/>
      <x:c r="Q42" s="2" t="str"/>
      <x:c r="R42" s="2" t="str"/>
    </x:row>
    <x:row r="43" ht="90" customHeight="1">
      <x:c r="A43" s="2" t="str">
        <x:v>DO-015</x:v>
      </x:c>
      <x:c r="B43" s="2" t="str">
        <x:v>Surat Jalan</x:v>
      </x:c>
      <x:c r="C43" s="2" t="str">
        <x:v>Print &amp; Detail</x:v>
      </x:c>
      <x:c r="D43" s="2" t="str">
        <x:v>P1</x:v>
      </x:c>
      <x:c r="E43" s="2" t="str">
        <x:v>Positive</x:v>
      </x:c>
      <x:c r="F43" s="2" t="str">
        <x:v>OWNER/OPERASIONAL/FINANCE/ARMADA</x:v>
      </x:c>
      <x:c r="G43" s="2" t="str">
        <x:v>Print/detail Surat Jalan sesuai data DO.</x:v>
      </x:c>
      <x:c r="H43" s="2" t="str">
        <x:v>DO punya SJ dan barang.</x:v>
      </x:c>
      <x:c r="I43" s="2" t="str">
        <x:v>1. Buka /surat-jalan
2. Filter/cari SJ
3. Buka detail/print</x:v>
      </x:c>
      <x:c r="J43" s="2" t="str">
        <x:v>Data SJ, barang, driver, kendaraan, pickup/drop tampil benar.</x:v>
      </x:c>
      <x:c r="K43" s="2" t="str"/>
      <x:c r="L43" s="2" t="str">
        <x:v>Not Run</x:v>
      </x:c>
      <x:c r="M43" s="2" t="str"/>
      <x:c r="N43" s="2" t="str"/>
      <x:c r="O43" s="2" t="str"/>
      <x:c r="P43" s="2" t="str"/>
      <x:c r="Q43" s="2" t="str"/>
      <x:c r="R43" s="2" t="str"/>
    </x:row>
    <x:row r="44" ht="90" customHeight="1">
      <x:c r="A44" s="2" t="str">
        <x:v>DO-016</x:v>
      </x:c>
      <x:c r="B44" s="2" t="str">
        <x:v>Trip / DO / Surat Jalan</x:v>
      </x:c>
      <x:c r="C44" s="2" t="str">
        <x:v>Cancel Trip</x:v>
      </x:c>
      <x:c r="D44" s="2" t="str">
        <x:v>P0</x:v>
      </x:c>
      <x:c r="E44" s="2" t="str">
        <x:v>E2E</x:v>
      </x:c>
      <x:c r="F44" s="2" t="str">
        <x:v>OWNER/OPERASIONAL</x:v>
      </x:c>
      <x:c r="G44" s="2" t="str">
        <x:v>Batalkan trip aktif yang valid.</x:v>
      </x:c>
      <x:c r="H44" s="2" t="str">
        <x:v>DO aktif belum final/nota.</x:v>
      </x:c>
      <x:c r="I44" s="2" t="str">
        <x:v>1. Buka DO
2. Cancel trip
3. Isi alasan
4. Simpan</x:v>
      </x:c>
      <x:c r="J44" s="2" t="str">
        <x:v>DO CANCELLED, resource lock dilepas, order item kembali sesuai rule, tracking stopped.</x:v>
      </x:c>
      <x:c r="K44" s="2" t="str"/>
      <x:c r="L44" s="2" t="str">
        <x:v>Not Run</x:v>
      </x:c>
      <x:c r="M44" s="2" t="str"/>
      <x:c r="N44" s="2" t="str"/>
      <x:c r="O44" s="2" t="str"/>
      <x:c r="P44" s="2" t="str"/>
      <x:c r="Q44" s="2" t="str"/>
      <x:c r="R44" s="2" t="str"/>
    </x:row>
    <x:row r="45" ht="90" customHeight="1">
      <x:c r="A45" s="2" t="str">
        <x:v>DRV-001</x:v>
      </x:c>
      <x:c r="B45" s="2" t="str">
        <x:v>Driver Mobile / Portal</x:v>
      </x:c>
      <x:c r="C45" s="2" t="str">
        <x:v>Trip List</x:v>
      </x:c>
      <x:c r="D45" s="2" t="str">
        <x:v>P0</x:v>
      </x:c>
      <x:c r="E45" s="2" t="str">
        <x:v>Positive</x:v>
      </x:c>
      <x:c r="F45" s="2" t="str">
        <x:v>DRIVER</x:v>
      </x:c>
      <x:c r="G45" s="2" t="str">
        <x:v>Driver hanya melihat trip miliknya.</x:v>
      </x:c>
      <x:c r="H45" s="2" t="str">
        <x:v>Driver punya DO aktif dan driver lain juga punya DO.</x:v>
      </x:c>
      <x:c r="I45" s="2" t="str">
        <x:v>1. Login driver
2. Lihat daftar trip</x:v>
      </x:c>
      <x:c r="J45" s="2" t="str">
        <x:v>Hanya DO milik driver login yang tampil; data driver lain tidak terlihat.</x:v>
      </x:c>
      <x:c r="K45" s="2" t="str"/>
      <x:c r="L45" s="2" t="str">
        <x:v>Not Run</x:v>
      </x:c>
      <x:c r="M45" s="2" t="str"/>
      <x:c r="N45" s="2" t="str"/>
      <x:c r="O45" s="2" t="str"/>
      <x:c r="P45" s="2" t="str"/>
      <x:c r="Q45" s="2" t="str"/>
      <x:c r="R45" s="2" t="str"/>
    </x:row>
    <x:row r="46" ht="90" customHeight="1">
      <x:c r="A46" s="2" t="str">
        <x:v>DRV-002</x:v>
      </x:c>
      <x:c r="B46" s="2" t="str">
        <x:v>Driver Mobile / Portal</x:v>
      </x:c>
      <x:c r="C46" s="2" t="str">
        <x:v>Create DO From Trip Plan</x:v>
      </x:c>
      <x:c r="D46" s="2" t="str">
        <x:v>P0</x:v>
      </x:c>
      <x:c r="E46" s="2" t="str">
        <x:v>E2E</x:v>
      </x:c>
      <x:c r="F46" s="2" t="str">
        <x:v>DRIVER</x:v>
      </x:c>
      <x:c r="G46" s="2" t="str">
        <x:v>Driver membuat DO dari trip plan order dengan input SJ.</x:v>
      </x:c>
      <x:c r="H46" s="2" t="str">
        <x:v>Admin assign trip plan ke driver, belum linked DO.</x:v>
      </x:c>
      <x:c r="I46" s="2" t="str">
        <x:v>1. Login driver
2. Buka trip plan
3. Input SJ
4. Simpan</x:v>
      </x:c>
      <x:c r="J46" s="2" t="str">
        <x:v>DO dibuat dari trip plan, item order pending auto-selected bila mode barang mengikuti order.</x:v>
      </x:c>
      <x:c r="K46" s="2" t="str"/>
      <x:c r="L46" s="2" t="str">
        <x:v>Not Run</x:v>
      </x:c>
      <x:c r="M46" s="2" t="str"/>
      <x:c r="N46" s="2" t="str"/>
      <x:c r="O46" s="2" t="str"/>
      <x:c r="P46" s="2" t="str"/>
      <x:c r="Q46" s="2" t="str"/>
      <x:c r="R46" s="2" t="str"/>
    </x:row>
    <x:row r="47" ht="90" customHeight="1">
      <x:c r="A47" s="2" t="str">
        <x:v>DRV-003</x:v>
      </x:c>
      <x:c r="B47" s="2" t="str">
        <x:v>Driver Mobile / Portal</x:v>
      </x:c>
      <x:c r="C47" s="2" t="str">
        <x:v>Tambah SJ</x:v>
      </x:c>
      <x:c r="D47" s="2" t="str">
        <x:v>P0</x:v>
      </x:c>
      <x:c r="E47" s="2" t="str">
        <x:v>Positive</x:v>
      </x:c>
      <x:c r="F47" s="2" t="str">
        <x:v>DRIVER</x:v>
      </x:c>
      <x:c r="G47" s="2" t="str">
        <x:v>Driver tambah SJ sebelum aktual final.</x:v>
      </x:c>
      <x:c r="H47" s="2" t="str">
        <x:v>DO aktif belum pending approval.</x:v>
      </x:c>
      <x:c r="I47" s="2" t="str">
        <x:v>1. Buka trip
2. Kelola SJ
3. Klik Tambah SJ
4. Isi nomor SJ dan pickup
5. Simpan</x:v>
      </x:c>
      <x:c r="J47" s="2" t="str">
        <x:v>SJ tersimpan di admin, muncul di batch finalisasi/nota sesuai status.</x:v>
      </x:c>
      <x:c r="K47" s="2" t="str"/>
      <x:c r="L47" s="2" t="str">
        <x:v>Not Run</x:v>
      </x:c>
      <x:c r="M47" s="2" t="str"/>
      <x:c r="N47" s="2" t="str"/>
      <x:c r="O47" s="2" t="str"/>
      <x:c r="P47" s="2" t="str"/>
      <x:c r="Q47" s="2" t="str"/>
      <x:c r="R47" s="2" t="str"/>
    </x:row>
    <x:row r="48" ht="90" customHeight="1">
      <x:c r="A48" s="2" t="str">
        <x:v>DRV-004</x:v>
      </x:c>
      <x:c r="B48" s="2" t="str">
        <x:v>Driver Mobile / Portal</x:v>
      </x:c>
      <x:c r="C48" s="2" t="str">
        <x:v>Edit SJ</x:v>
      </x:c>
      <x:c r="D48" s="2" t="str">
        <x:v>P0</x:v>
      </x:c>
      <x:c r="E48" s="2" t="str">
        <x:v>Positive</x:v>
      </x:c>
      <x:c r="F48" s="2" t="str">
        <x:v>DRIVER</x:v>
      </x:c>
      <x:c r="G48" s="2" t="str">
        <x:v>Driver edit nomor SJ yang salah sebelum aktual final.</x:v>
      </x:c>
      <x:c r="H48" s="2" t="str">
        <x:v>DO aktif belum pending approval/nota.</x:v>
      </x:c>
      <x:c r="I48" s="2" t="str">
        <x:v>1. Buka Kelola SJ
2. Edit nomor SJ
3. Simpan
4. Refresh admin</x:v>
      </x:c>
      <x:c r="J48" s="2" t="str">
        <x:v>Nomor SJ admin ikut berubah; relasi barang tetap benar.</x:v>
      </x:c>
      <x:c r="K48" s="2" t="str"/>
      <x:c r="L48" s="2" t="str">
        <x:v>Not Run</x:v>
      </x:c>
      <x:c r="M48" s="2" t="str"/>
      <x:c r="N48" s="2" t="str"/>
      <x:c r="O48" s="2" t="str"/>
      <x:c r="P48" s="2" t="str"/>
      <x:c r="Q48" s="2" t="str"/>
      <x:c r="R48" s="2" t="str"/>
    </x:row>
    <x:row r="49" ht="90" customHeight="1">
      <x:c r="A49" s="2" t="str">
        <x:v>DRV-005</x:v>
      </x:c>
      <x:c r="B49" s="2" t="str">
        <x:v>Driver Mobile / Portal</x:v>
      </x:c>
      <x:c r="C49" s="2" t="str">
        <x:v>Hapus SJ</x:v>
      </x:c>
      <x:c r="D49" s="2" t="str">
        <x:v>P0</x:v>
      </x:c>
      <x:c r="E49" s="2" t="str">
        <x:v>Positive</x:v>
      </x:c>
      <x:c r="F49" s="2" t="str">
        <x:v>DRIVER</x:v>
      </x:c>
      <x:c r="G49" s="2" t="str">
        <x:v>Driver hapus SJ tambahan yang salah sebelum aktual final.</x:v>
      </x:c>
      <x:c r="H49" s="2" t="str">
        <x:v>DO aktif punya &gt;1 SJ.</x:v>
      </x:c>
      <x:c r="I49" s="2" t="str">
        <x:v>1. Buka Kelola SJ
2. Klik Hapus SJ pada SJ tambahan
3. Simpan</x:v>
      </x:c>
      <x:c r="J49" s="2" t="str">
        <x:v>SJ tambahan terhapus; barang terkait ikut bersih sesuai rule; minimal satu SJ tetap ada.</x:v>
      </x:c>
      <x:c r="K49" s="2" t="str"/>
      <x:c r="L49" s="2" t="str">
        <x:v>Not Run</x:v>
      </x:c>
      <x:c r="M49" s="2" t="str"/>
      <x:c r="N49" s="2" t="str"/>
      <x:c r="O49" s="2" t="str"/>
      <x:c r="P49" s="2" t="str"/>
      <x:c r="Q49" s="2" t="str"/>
      <x:c r="R49" s="2" t="str"/>
    </x:row>
    <x:row r="50" ht="90" customHeight="1">
      <x:c r="A50" s="2" t="str">
        <x:v>DRV-006</x:v>
      </x:c>
      <x:c r="B50" s="2" t="str">
        <x:v>Driver Mobile / Portal</x:v>
      </x:c>
      <x:c r="C50" s="2" t="str">
        <x:v>Tambah Barang</x:v>
      </x:c>
      <x:c r="D50" s="2" t="str">
        <x:v>P0</x:v>
      </x:c>
      <x:c r="E50" s="2" t="str">
        <x:v>Positive</x:v>
      </x:c>
      <x:c r="F50" s="2" t="str">
        <x:v>DRIVER</x:v>
      </x:c>
      <x:c r="G50" s="2" t="str">
        <x:v>Driver tambah barang ke SJ direct cargo.</x:v>
      </x:c>
      <x:c r="H50" s="2" t="str">
        <x:v>DO aktif allowsDirectCargoInput true.</x:v>
      </x:c>
      <x:c r="I50" s="2" t="str">
        <x:v>1. Kelola SJ &amp; Barang
2. Tambah Barang di SJ
3. Isi deskripsi/koli/berat/unit/volume
4. Simpan</x:v>
      </x:c>
      <x:c r="J50" s="2" t="str">
        <x:v>Barang muncul di detail DO admin, unit tersimpan sebagai input asli dan normalized value benar.</x:v>
      </x:c>
      <x:c r="K50" s="2" t="str"/>
      <x:c r="L50" s="2" t="str">
        <x:v>Not Run</x:v>
      </x:c>
      <x:c r="M50" s="2" t="str"/>
      <x:c r="N50" s="2" t="str"/>
      <x:c r="O50" s="2" t="str"/>
      <x:c r="P50" s="2" t="str"/>
      <x:c r="Q50" s="2" t="str"/>
      <x:c r="R50" s="2" t="str"/>
    </x:row>
    <x:row r="51" ht="90" customHeight="1">
      <x:c r="A51" s="2" t="str">
        <x:v>DRV-007</x:v>
      </x:c>
      <x:c r="B51" s="2" t="str">
        <x:v>Driver Mobile / Portal</x:v>
      </x:c>
      <x:c r="C51" s="2" t="str">
        <x:v>Edit Barang</x:v>
      </x:c>
      <x:c r="D51" s="2" t="str">
        <x:v>P0</x:v>
      </x:c>
      <x:c r="E51" s="2" t="str">
        <x:v>Positive</x:v>
      </x:c>
      <x:c r="F51" s="2" t="str">
        <x:v>DRIVER</x:v>
      </x:c>
      <x:c r="G51" s="2" t="str">
        <x:v>Driver edit barang sebelum approval/final.</x:v>
      </x:c>
      <x:c r="H51" s="2" t="str">
        <x:v>DO aktif punya barang driver-created.</x:v>
      </x:c>
      <x:c r="I51" s="2" t="str">
        <x:v>1. Buka Kelola SJ &amp; Barang
2. Edit deskripsi/koli/berat
3. Simpan</x:v>
      </x:c>
      <x:c r="J51" s="2" t="str">
        <x:v>Barang admin ikut berubah; audit log tercatat.</x:v>
      </x:c>
      <x:c r="K51" s="2" t="str"/>
      <x:c r="L51" s="2" t="str">
        <x:v>Not Run</x:v>
      </x:c>
      <x:c r="M51" s="2" t="str"/>
      <x:c r="N51" s="2" t="str"/>
      <x:c r="O51" s="2" t="str"/>
      <x:c r="P51" s="2" t="str"/>
      <x:c r="Q51" s="2" t="str"/>
      <x:c r="R51" s="2" t="str"/>
    </x:row>
    <x:row r="52" ht="90" customHeight="1">
      <x:c r="A52" s="2" t="str">
        <x:v>DRV-008</x:v>
      </x:c>
      <x:c r="B52" s="2" t="str">
        <x:v>Driver Mobile / Portal</x:v>
      </x:c>
      <x:c r="C52" s="2" t="str">
        <x:v>Hapus Barang</x:v>
      </x:c>
      <x:c r="D52" s="2" t="str">
        <x:v>P0</x:v>
      </x:c>
      <x:c r="E52" s="2" t="str">
        <x:v>Positive</x:v>
      </x:c>
      <x:c r="F52" s="2" t="str">
        <x:v>DRIVER</x:v>
      </x:c>
      <x:c r="G52" s="2" t="str">
        <x:v>Driver hapus barang driver-created sebelum approval/final.</x:v>
      </x:c>
      <x:c r="H52" s="2" t="str">
        <x:v>DO aktif punya barang driver-created.</x:v>
      </x:c>
      <x:c r="I52" s="2" t="str">
        <x:v>1. Buka Kelola SJ &amp; Barang
2. Hapus barang
3. Simpan</x:v>
      </x:c>
      <x:c r="J52" s="2" t="str">
        <x:v>Barang terhapus dari DO/order item sumber driver; item order utama tidak ikut hilang.</x:v>
      </x:c>
      <x:c r="K52" s="2" t="str"/>
      <x:c r="L52" s="2" t="str">
        <x:v>Not Run</x:v>
      </x:c>
      <x:c r="M52" s="2" t="str"/>
      <x:c r="N52" s="2" t="str"/>
      <x:c r="O52" s="2" t="str"/>
      <x:c r="P52" s="2" t="str"/>
      <x:c r="Q52" s="2" t="str"/>
      <x:c r="R52" s="2" t="str"/>
    </x:row>
    <x:row r="53" ht="90" customHeight="1">
      <x:c r="A53" s="2" t="str">
        <x:v>DRV-009</x:v>
      </x:c>
      <x:c r="B53" s="2" t="str">
        <x:v>Driver Mobile / Portal</x:v>
      </x:c>
      <x:c r="C53" s="2" t="str">
        <x:v>Input Stability</x:v>
      </x:c>
      <x:c r="D53" s="2" t="str">
        <x:v>P0</x:v>
      </x:c>
      <x:c r="E53" s="2" t="str">
        <x:v>Regression</x:v>
      </x:c>
      <x:c r="F53" s="2" t="str">
        <x:v>DRIVER</x:v>
      </x:c>
      <x:c r="G53" s="2" t="str">
        <x:v>Input angka tidak hilang saat keyboard terbuka.</x:v>
      </x:c>
      <x:c r="H53" s="2" t="str">
        <x:v>App mobile pada layar kecil.</x:v>
      </x:c>
      <x:c r="I53" s="2" t="str">
        <x:v>1. Buka Kelola SJ &amp; Barang
2. Fokus field Koli/Berat/Volume
3. Ketik angka
4. Keyboard tetap terbuka
5. Scroll sedikit</x:v>
      </x:c>
      <x:c r="J53" s="2" t="str">
        <x:v>Halaman tidak hilang, teks angka tetap ada, tombol simpan masih bisa dijangkau.</x:v>
      </x:c>
      <x:c r="K53" s="2" t="str"/>
      <x:c r="L53" s="2" t="str">
        <x:v>Not Run</x:v>
      </x:c>
      <x:c r="M53" s="2" t="str"/>
      <x:c r="N53" s="2" t="str"/>
      <x:c r="O53" s="2" t="str"/>
      <x:c r="P53" s="2" t="str"/>
      <x:c r="Q53" s="2" t="str"/>
      <x:c r="R53" s="2" t="str"/>
    </x:row>
    <x:row r="54" ht="90" customHeight="1">
      <x:c r="A54" s="2" t="str">
        <x:v>DRV-010</x:v>
      </x:c>
      <x:c r="B54" s="2" t="str">
        <x:v>Driver Mobile / Portal</x:v>
      </x:c>
      <x:c r="C54" s="2" t="str">
        <x:v>Tracking Start</x:v>
      </x:c>
      <x:c r="D54" s="2" t="str">
        <x:v>P0</x:v>
      </x:c>
      <x:c r="E54" s="2" t="str">
        <x:v>E2E</x:v>
      </x:c>
      <x:c r="F54" s="2" t="str">
        <x:v>DRIVER</x:v>
      </x:c>
      <x:c r="G54" s="2" t="str">
        <x:v>Mulai tracking dari mobile.</x:v>
      </x:c>
      <x:c r="H54" s="2" t="str">
        <x:v>DO CREATED/ON_DELIVERY milik driver.</x:v>
      </x:c>
      <x:c r="I54" s="2" t="str">
        <x:v>1. Login mobile
2. Pilih DO
3. Mulai Tracking
4. Izinkan lokasi</x:v>
      </x:c>
      <x:c r="J54" s="2" t="str">
        <x:v>Tracking ACTIVE, status DO naik ke ON_DELIVERY bila dari CREATED, admin melihat last location.</x:v>
      </x:c>
      <x:c r="K54" s="2" t="str"/>
      <x:c r="L54" s="2" t="str">
        <x:v>Not Run</x:v>
      </x:c>
      <x:c r="M54" s="2" t="str"/>
      <x:c r="N54" s="2" t="str"/>
      <x:c r="O54" s="2" t="str"/>
      <x:c r="P54" s="2" t="str"/>
      <x:c r="Q54" s="2" t="str"/>
      <x:c r="R54" s="2" t="str"/>
    </x:row>
    <x:row r="55" ht="90" customHeight="1">
      <x:c r="A55" s="2" t="str">
        <x:v>DRV-011</x:v>
      </x:c>
      <x:c r="B55" s="2" t="str">
        <x:v>Driver Mobile / Portal</x:v>
      </x:c>
      <x:c r="C55" s="2" t="str">
        <x:v>Tracking Resume</x:v>
      </x:c>
      <x:c r="D55" s="2" t="str">
        <x:v>P1</x:v>
      </x:c>
      <x:c r="E55" s="2" t="str">
        <x:v>Positive</x:v>
      </x:c>
      <x:c r="F55" s="2" t="str">
        <x:v>DRIVER</x:v>
      </x:c>
      <x:c r="G55" s="2" t="str">
        <x:v>Resume tracking setelah app dibuka ulang.</x:v>
      </x:c>
      <x:c r="H55" s="2" t="str">
        <x:v>Tracking aktif.</x:v>
      </x:c>
      <x:c r="I55" s="2" t="str">
        <x:v>1. Tutup app
2. Buka lagi
3. Pilih trip
4. Lanjutkan tracking</x:v>
      </x:c>
      <x:c r="J55" s="2" t="str">
        <x:v>Tracking tetap terkait DO yang sama; tidak membuat lock ganda.</x:v>
      </x:c>
      <x:c r="K55" s="2" t="str"/>
      <x:c r="L55" s="2" t="str">
        <x:v>Not Run</x:v>
      </x:c>
      <x:c r="M55" s="2" t="str"/>
      <x:c r="N55" s="2" t="str"/>
      <x:c r="O55" s="2" t="str"/>
      <x:c r="P55" s="2" t="str"/>
      <x:c r="Q55" s="2" t="str"/>
      <x:c r="R55" s="2" t="str"/>
    </x:row>
    <x:row r="56" ht="90" customHeight="1">
      <x:c r="A56" s="2" t="str">
        <x:v>DRV-012</x:v>
      </x:c>
      <x:c r="B56" s="2" t="str">
        <x:v>Driver Mobile / Portal</x:v>
      </x:c>
      <x:c r="C56" s="2" t="str">
        <x:v>Logout Lock</x:v>
      </x:c>
      <x:c r="D56" s="2" t="str">
        <x:v>P0</x:v>
      </x:c>
      <x:c r="E56" s="2" t="str">
        <x:v>Negative</x:v>
      </x:c>
      <x:c r="F56" s="2" t="str">
        <x:v>DRIVER</x:v>
      </x:c>
      <x:c r="G56" s="2" t="str">
        <x:v>Driver tidak bisa logout saat tracking mengunci trip aktif.</x:v>
      </x:c>
      <x:c r="H56" s="2" t="str">
        <x:v>Tracking ACTIVE pada DO aktif.</x:v>
      </x:c>
      <x:c r="I56" s="2" t="str">
        <x:v>1. Klik logout driver</x:v>
      </x:c>
      <x:c r="J56" s="2" t="str">
        <x:v>Logout ditolak sampai admin menutup/cancel DO.</x:v>
      </x:c>
      <x:c r="K56" s="2" t="str"/>
      <x:c r="L56" s="2" t="str">
        <x:v>Not Run</x:v>
      </x:c>
      <x:c r="M56" s="2" t="str"/>
      <x:c r="N56" s="2" t="str"/>
      <x:c r="O56" s="2" t="str"/>
      <x:c r="P56" s="2" t="str"/>
      <x:c r="Q56" s="2" t="str"/>
      <x:c r="R56" s="2" t="str"/>
    </x:row>
    <x:row r="57" ht="90" customHeight="1">
      <x:c r="A57" s="2" t="str">
        <x:v>DRV-013</x:v>
      </x:c>
      <x:c r="B57" s="2" t="str">
        <x:v>Driver Mobile / Portal</x:v>
      </x:c>
      <x:c r="C57" s="2" t="str">
        <x:v>Completion Request</x:v>
      </x:c>
      <x:c r="D57" s="2" t="str">
        <x:v>P0</x:v>
      </x:c>
      <x:c r="E57" s="2" t="str">
        <x:v>E2E</x:v>
      </x:c>
      <x:c r="F57" s="2" t="str">
        <x:v>DRIVER</x:v>
      </x:c>
      <x:c r="G57" s="2" t="str">
        <x:v>Driver ajukan selesai dengan aktual final dan drop.</x:v>
      </x:c>
      <x:c r="H57" s="2" t="str">
        <x:v>DO ARRIVED/ON_DELIVERY punya SJ/barang.</x:v>
      </x:c>
      <x:c r="I57" s="2" t="str">
        <x:v>1. Buka trip
2. Ajukan Selesai
3. Pilih SJ batch
4. Isi actual item, drop, POD receiver/date
5. Submit</x:v>
      </x:c>
      <x:c r="J57" s="2" t="str">
        <x:v>Request masuk pending approval admin; DO belum final sebelum admin approve.</x:v>
      </x:c>
      <x:c r="K57" s="2" t="str"/>
      <x:c r="L57" s="2" t="str">
        <x:v>Not Run</x:v>
      </x:c>
      <x:c r="M57" s="2" t="str"/>
      <x:c r="N57" s="2" t="str"/>
      <x:c r="O57" s="2" t="str"/>
      <x:c r="P57" s="2" t="str"/>
      <x:c r="Q57" s="2" t="str"/>
      <x:c r="R57" s="2" t="str"/>
    </x:row>
    <x:row r="58" ht="90" customHeight="1">
      <x:c r="A58" s="2" t="str">
        <x:v>DRV-014</x:v>
      </x:c>
      <x:c r="B58" s="2" t="str">
        <x:v>Driver Mobile / Portal</x:v>
      </x:c>
      <x:c r="C58" s="2" t="str">
        <x:v>Completion Mismatch</x:v>
      </x:c>
      <x:c r="D58" s="2" t="str">
        <x:v>P0</x:v>
      </x:c>
      <x:c r="E58" s="2" t="str">
        <x:v>Negative</x:v>
      </x:c>
      <x:c r="F58" s="2" t="str">
        <x:v>DRIVER</x:v>
      </x:c>
      <x:c r="G58" s="2" t="str">
        <x:v>Driver tidak bisa submit aktual/drop mismatch.</x:v>
      </x:c>
      <x:c r="H58" s="2" t="str">
        <x:v>DO punya barang.</x:v>
      </x:c>
      <x:c r="I58" s="2" t="str">
        <x:v>1. Isi actual item total A
2. Isi drop total berbeda
3. Submit</x:v>
      </x:c>
      <x:c r="J58" s="2" t="str">
        <x:v>Submit ditolak dengan pesan mismatch, tidak ada pending request invalid.</x:v>
      </x:c>
      <x:c r="K58" s="2" t="str"/>
      <x:c r="L58" s="2" t="str">
        <x:v>Not Run</x:v>
      </x:c>
      <x:c r="M58" s="2" t="str"/>
      <x:c r="N58" s="2" t="str"/>
      <x:c r="O58" s="2" t="str"/>
      <x:c r="P58" s="2" t="str"/>
      <x:c r="Q58" s="2" t="str"/>
      <x:c r="R58" s="2" t="str"/>
    </x:row>
    <x:row r="59" ht="90" customHeight="1">
      <x:c r="A59" s="2" t="str">
        <x:v>DRV-015</x:v>
      </x:c>
      <x:c r="B59" s="2" t="str">
        <x:v>Driver Mobile / Portal</x:v>
      </x:c>
      <x:c r="C59" s="2" t="str">
        <x:v>Trip Closure/Odometer</x:v>
      </x:c>
      <x:c r="D59" s="2" t="str">
        <x:v>P0</x:v>
      </x:c>
      <x:c r="E59" s="2" t="str">
        <x:v>E2E</x:v>
      </x:c>
      <x:c r="F59" s="2" t="str">
        <x:v>DRIVER/OWNER</x:v>
      </x:c>
      <x:c r="G59" s="2" t="str">
        <x:v>Driver ajukan tutup trip dengan odometer final, admin approve.</x:v>
      </x:c>
      <x:c r="H59" s="2" t="str">
        <x:v>DO delivered/siap closure.</x:v>
      </x:c>
      <x:c r="I59" s="2" t="str">
        <x:v>1. Driver isi odometer akhir
2. Submit request
3. Admin review dan approve</x:v>
      </x:c>
      <x:c r="J59" s="2" t="str">
        <x:v>Trip closure/odometer tersimpan setelah approval admin; vehicle last odometer sinkron.</x:v>
      </x:c>
      <x:c r="K59" s="2" t="str"/>
      <x:c r="L59" s="2" t="str">
        <x:v>Not Run</x:v>
      </x:c>
      <x:c r="M59" s="2" t="str"/>
      <x:c r="N59" s="2" t="str"/>
      <x:c r="O59" s="2" t="str"/>
      <x:c r="P59" s="2" t="str"/>
      <x:c r="Q59" s="2" t="str"/>
      <x:c r="R59" s="2" t="str"/>
    </x:row>
    <x:row r="60" ht="90" customHeight="1">
      <x:c r="A60" s="2" t="str">
        <x:v>DRV-016</x:v>
      </x:c>
      <x:c r="B60" s="2" t="str">
        <x:v>Driver Mobile / Portal</x:v>
      </x:c>
      <x:c r="C60" s="2" t="str">
        <x:v>Incident Report</x:v>
      </x:c>
      <x:c r="D60" s="2" t="str">
        <x:v>P0</x:v>
      </x:c>
      <x:c r="E60" s="2" t="str">
        <x:v>E2E</x:v>
      </x:c>
      <x:c r="F60" s="2" t="str">
        <x:v>DRIVER/ARMADA</x:v>
      </x:c>
      <x:c r="G60" s="2" t="str">
        <x:v>Driver lapor insiden dari mobile.</x:v>
      </x:c>
      <x:c r="H60" s="2" t="str">
        <x:v>Driver punya DO aktif.</x:v>
      </x:c>
      <x:c r="I60" s="2" t="str">
        <x:v>1. Buka Insiden
2. Isi jenis, urgency, lokasi, odometer, deskripsi
3. Submit
4. Admin buka fleet incidents</x:v>
      </x:c>
      <x:c r="J60" s="2" t="str">
        <x:v>Incident OPEN/IN_PROGRESS muncul di admin dengan relasi DO dan driver.</x:v>
      </x:c>
      <x:c r="K60" s="2" t="str"/>
      <x:c r="L60" s="2" t="str">
        <x:v>Not Run</x:v>
      </x:c>
      <x:c r="M60" s="2" t="str"/>
      <x:c r="N60" s="2" t="str"/>
      <x:c r="O60" s="2" t="str"/>
      <x:c r="P60" s="2" t="str"/>
      <x:c r="Q60" s="2" t="str"/>
      <x:c r="R60" s="2" t="str"/>
    </x:row>
    <x:row r="61" ht="90" customHeight="1">
      <x:c r="A61" s="2" t="str">
        <x:v>DRV-017</x:v>
      </x:c>
      <x:c r="B61" s="2" t="str">
        <x:v>Driver Mobile / Portal</x:v>
      </x:c>
      <x:c r="C61" s="2" t="str">
        <x:v>Incident Resolution</x:v>
      </x:c>
      <x:c r="D61" s="2" t="str">
        <x:v>P1</x:v>
      </x:c>
      <x:c r="E61" s="2" t="str">
        <x:v>E2E</x:v>
      </x:c>
      <x:c r="F61" s="2" t="str">
        <x:v>DRIVER/ARMADA/FINANCE</x:v>
      </x:c>
      <x:c r="G61" s="2" t="str">
        <x:v>Driver ajukan penyelesaian insiden dengan biaya.</x:v>
      </x:c>
      <x:c r="H61" s="2" t="str">
        <x:v>Incident aktif.</x:v>
      </x:c>
      <x:c r="I61" s="2" t="str">
        <x:v>1. Driver submit resolution + biaya
2. Admin review
3. Finance cek settlement/expense bila diposting</x:v>
      </x:c>
      <x:c r="J61" s="2" t="str">
        <x:v>Biaya masuk settlement line dengan status benar; posting finance sesuai approval.</x:v>
      </x:c>
      <x:c r="K61" s="2" t="str"/>
      <x:c r="L61" s="2" t="str">
        <x:v>Not Run</x:v>
      </x:c>
      <x:c r="M61" s="2" t="str"/>
      <x:c r="N61" s="2" t="str"/>
      <x:c r="O61" s="2" t="str"/>
      <x:c r="P61" s="2" t="str"/>
      <x:c r="Q61" s="2" t="str"/>
      <x:c r="R61" s="2" t="str"/>
    </x:row>
    <x:row r="62" ht="90" customHeight="1">
      <x:c r="A62" s="2" t="str">
        <x:v>APP-001</x:v>
      </x:c>
      <x:c r="B62" s="2" t="str">
        <x:v>Approval Admin</x:v>
      </x:c>
      <x:c r="C62" s="2" t="str">
        <x:v>Review Driver Completion</x:v>
      </x:c>
      <x:c r="D62" s="2" t="str">
        <x:v>P0</x:v>
      </x:c>
      <x:c r="E62" s="2" t="str">
        <x:v>E2E</x:v>
      </x:c>
      <x:c r="F62" s="2" t="str">
        <x:v>OWNER/OPERASIONAL</x:v>
      </x:c>
      <x:c r="G62" s="2" t="str">
        <x:v>Admin approve request selesai dari driver.</x:v>
      </x:c>
      <x:c r="H62" s="2" t="str">
        <x:v>Ada pending driver completion request.</x:v>
      </x:c>
      <x:c r="I62" s="2" t="str">
        <x:v>1. Buka detail DO
2. Review aktual/drop/POD
3. Approve</x:v>
      </x:c>
      <x:c r="J62" s="2" t="str">
        <x:v>DO menjadi DELIVERED, actual final tersimpan, resource/tracking selesai.</x:v>
      </x:c>
      <x:c r="K62" s="2" t="str"/>
      <x:c r="L62" s="2" t="str">
        <x:v>Not Run</x:v>
      </x:c>
      <x:c r="M62" s="2" t="str"/>
      <x:c r="N62" s="2" t="str"/>
      <x:c r="O62" s="2" t="str"/>
      <x:c r="P62" s="2" t="str"/>
      <x:c r="Q62" s="2" t="str"/>
      <x:c r="R62" s="2" t="str"/>
    </x:row>
    <x:row r="63" ht="90" customHeight="1">
      <x:c r="A63" s="2" t="str">
        <x:v>APP-002</x:v>
      </x:c>
      <x:c r="B63" s="2" t="str">
        <x:v>Approval Admin</x:v>
      </x:c>
      <x:c r="C63" s="2" t="str">
        <x:v>Reject Driver Completion</x:v>
      </x:c>
      <x:c r="D63" s="2" t="str">
        <x:v>P0</x:v>
      </x:c>
      <x:c r="E63" s="2" t="str">
        <x:v>Negative/E2E</x:v>
      </x:c>
      <x:c r="F63" s="2" t="str">
        <x:v>OWNER/OPERASIONAL</x:v>
      </x:c>
      <x:c r="G63" s="2" t="str">
        <x:v>Admin reject request selesai yang salah.</x:v>
      </x:c>
      <x:c r="H63" s="2" t="str">
        <x:v>Ada pending completion request.</x:v>
      </x:c>
      <x:c r="I63" s="2" t="str">
        <x:v>1. Buka detail DO
2. Reject dengan alasan</x:v>
      </x:c>
      <x:c r="J63" s="2" t="str">
        <x:v>Pending request hilang/ditandai rejected, DO tetap status sebelumnya, driver bisa koreksi submit ulang.</x:v>
      </x:c>
      <x:c r="K63" s="2" t="str"/>
      <x:c r="L63" s="2" t="str">
        <x:v>Not Run</x:v>
      </x:c>
      <x:c r="M63" s="2" t="str"/>
      <x:c r="N63" s="2" t="str"/>
      <x:c r="O63" s="2" t="str"/>
      <x:c r="P63" s="2" t="str"/>
      <x:c r="Q63" s="2" t="str"/>
      <x:c r="R63" s="2" t="str"/>
    </x:row>
    <x:row r="64" ht="90" customHeight="1">
      <x:c r="A64" s="2" t="str">
        <x:v>APP-003</x:v>
      </x:c>
      <x:c r="B64" s="2" t="str">
        <x:v>Approval Admin</x:v>
      </x:c>
      <x:c r="C64" s="2" t="str">
        <x:v>Pending Lock</x:v>
      </x:c>
      <x:c r="D64" s="2" t="str">
        <x:v>P0</x:v>
      </x:c>
      <x:c r="E64" s="2" t="str">
        <x:v>Regression</x:v>
      </x:c>
      <x:c r="F64" s="2" t="str">
        <x:v>OWNER/OPERASIONAL/DRIVER</x:v>
      </x:c>
      <x:c r="G64" s="2" t="str">
        <x:v>Data operasional dikunci selama pending approval.</x:v>
      </x:c>
      <x:c r="H64" s="2" t="str">
        <x:v>Ada pending request.</x:v>
      </x:c>
      <x:c r="I64" s="2" t="str">
        <x:v>1. Saat pending, coba edit SJ/barang/status final dari mobile/admin lain</x:v>
      </x:c>
      <x:c r="J64" s="2" t="str">
        <x:v>Mutasi konflik ditolak sampai approval diputuskan.</x:v>
      </x:c>
      <x:c r="K64" s="2" t="str"/>
      <x:c r="L64" s="2" t="str">
        <x:v>Not Run</x:v>
      </x:c>
      <x:c r="M64" s="2" t="str"/>
      <x:c r="N64" s="2" t="str"/>
      <x:c r="O64" s="2" t="str"/>
      <x:c r="P64" s="2" t="str"/>
      <x:c r="Q64" s="2" t="str"/>
      <x:c r="R64" s="2" t="str"/>
    </x:row>
    <x:row r="65" ht="90" customHeight="1">
      <x:c r="A65" s="2" t="str">
        <x:v>INV-001</x:v>
      </x:c>
      <x:c r="B65" s="2" t="str">
        <x:v>Invoice / Nota Ongkos</x:v>
      </x:c>
      <x:c r="C65" s="2" t="str">
        <x:v>Create Nota</x:v>
      </x:c>
      <x:c r="D65" s="2" t="str">
        <x:v>P0</x:v>
      </x:c>
      <x:c r="E65" s="2" t="str">
        <x:v>E2E</x:v>
      </x:c>
      <x:c r="F65" s="2" t="str">
        <x:v>FINANCE/OWNER</x:v>
      </x:c>
      <x:c r="G65" s="2" t="str">
        <x:v>Buat nota dari DO delivered billable.</x:v>
      </x:c>
      <x:c r="H65" s="2" t="str">
        <x:v>DO DELIVERED dengan SJ billable.</x:v>
      </x:c>
      <x:c r="I65" s="2" t="str">
        <x:v>1. Buka Invoice
2. Klik Baru
3. Pilih customer/DO/SJ
4. Generate baris
5. Simpan</x:v>
      </x:c>
      <x:c r="J65" s="2" t="str">
        <x:v>NOTA dibuat UNPAID, item nota per DO/SJ/barang benar, nilai memakai aktual final.</x:v>
      </x:c>
      <x:c r="K65" s="2" t="str"/>
      <x:c r="L65" s="2" t="str">
        <x:v>Not Run</x:v>
      </x:c>
      <x:c r="M65" s="2" t="str"/>
      <x:c r="N65" s="2" t="str"/>
      <x:c r="O65" s="2" t="str"/>
      <x:c r="P65" s="2" t="str"/>
      <x:c r="Q65" s="2" t="str"/>
      <x:c r="R65" s="2" t="str"/>
    </x:row>
    <x:row r="66" ht="90" customHeight="1">
      <x:c r="A66" s="2" t="str">
        <x:v>INV-002</x:v>
      </x:c>
      <x:c r="B66" s="2" t="str">
        <x:v>Invoice / Nota Ongkos</x:v>
      </x:c>
      <x:c r="C66" s="2" t="str">
        <x:v>Hold Guard</x:v>
      </x:c>
      <x:c r="D66" s="2" t="str">
        <x:v>P0</x:v>
      </x:c>
      <x:c r="E66" s="2" t="str">
        <x:v>Negative</x:v>
      </x:c>
      <x:c r="F66" s="2" t="str">
        <x:v>FINANCE/OWNER</x:v>
      </x:c>
      <x:c r="G66" s="2" t="str">
        <x:v>DO hold-only tidak boleh ditagihkan.</x:v>
      </x:c>
      <x:c r="H66" s="2" t="str">
        <x:v>DO DELIVERED/PARTIAL_HOLD tanpa billable cargo.</x:v>
      </x:c>
      <x:c r="I66" s="2" t="str">
        <x:v>1. Buat nota
2. Pilih DO hold-only</x:v>
      </x:c>
      <x:c r="J66" s="2" t="str">
        <x:v>DO tidak eligible atau submit ditolak.</x:v>
      </x:c>
      <x:c r="K66" s="2" t="str"/>
      <x:c r="L66" s="2" t="str">
        <x:v>Not Run</x:v>
      </x:c>
      <x:c r="M66" s="2" t="str"/>
      <x:c r="N66" s="2" t="str"/>
      <x:c r="O66" s="2" t="str"/>
      <x:c r="P66" s="2" t="str"/>
      <x:c r="Q66" s="2" t="str"/>
      <x:c r="R66" s="2" t="str"/>
    </x:row>
    <x:row r="67" ht="90" customHeight="1">
      <x:c r="A67" s="2" t="str">
        <x:v>INV-003</x:v>
      </x:c>
      <x:c r="B67" s="2" t="str">
        <x:v>Invoice / Nota Ongkos</x:v>
      </x:c>
      <x:c r="C67" s="2" t="str">
        <x:v>Mixed SJ Billing</x:v>
      </x:c>
      <x:c r="D67" s="2" t="str">
        <x:v>P0</x:v>
      </x:c>
      <x:c r="E67" s="2" t="str">
        <x:v>Positive</x:v>
      </x:c>
      <x:c r="F67" s="2" t="str">
        <x:v>FINANCE/OWNER</x:v>
      </x:c>
      <x:c r="G67" s="2" t="str">
        <x:v>DO campuran billable dan hold hanya menagih bagian billable.</x:v>
      </x:c>
      <x:c r="H67" s="2" t="str">
        <x:v>DO punya drop billable dan hold.</x:v>
      </x:c>
      <x:c r="I67" s="2" t="str">
        <x:v>1. Buat nota dari DO campuran
2. Pilih SJ billable</x:v>
      </x:c>
      <x:c r="J67" s="2" t="str">
        <x:v>Nota hanya berisi cargo billable; hold tidak masuk tagihan.</x:v>
      </x:c>
      <x:c r="K67" s="2" t="str"/>
      <x:c r="L67" s="2" t="str">
        <x:v>Not Run</x:v>
      </x:c>
      <x:c r="M67" s="2" t="str"/>
      <x:c r="N67" s="2" t="str"/>
      <x:c r="O67" s="2" t="str"/>
      <x:c r="P67" s="2" t="str"/>
      <x:c r="Q67" s="2" t="str"/>
      <x:c r="R67" s="2" t="str"/>
    </x:row>
    <x:row r="68" ht="90" customHeight="1">
      <x:c r="A68" s="2" t="str">
        <x:v>INV-004</x:v>
      </x:c>
      <x:c r="B68" s="2" t="str">
        <x:v>Invoice / Nota Ongkos</x:v>
      </x:c>
      <x:c r="C68" s="2" t="str">
        <x:v>Adjustment</x:v>
      </x:c>
      <x:c r="D68" s="2" t="str">
        <x:v>P0</x:v>
      </x:c>
      <x:c r="E68" s="2" t="str">
        <x:v>Positive</x:v>
      </x:c>
      <x:c r="F68" s="2" t="str">
        <x:v>FINANCE/OWNER</x:v>
      </x:c>
      <x:c r="G68" s="2" t="str">
        <x:v>Tambah klaim/potongan nota.</x:v>
      </x:c>
      <x:c r="H68" s="2" t="str">
        <x:v>Nota UNPAID/PARTIAL.</x:v>
      </x:c>
      <x:c r="I68" s="2" t="str">
        <x:v>1. Buka detail nota
2. Tambah adjustment DAMAGE/PENALTY/DISCOUNT
3. Simpan</x:v>
      </x:c>
      <x:c r="J68" s="2" t="str">
        <x:v>Net amount berkurang, gross tetap, status bayar dihitung ulang dari net.</x:v>
      </x:c>
      <x:c r="K68" s="2" t="str"/>
      <x:c r="L68" s="2" t="str">
        <x:v>Not Run</x:v>
      </x:c>
      <x:c r="M68" s="2" t="str"/>
      <x:c r="N68" s="2" t="str"/>
      <x:c r="O68" s="2" t="str"/>
      <x:c r="P68" s="2" t="str"/>
      <x:c r="Q68" s="2" t="str"/>
      <x:c r="R68" s="2" t="str"/>
    </x:row>
    <x:row r="69" ht="90" customHeight="1">
      <x:c r="A69" s="2" t="str">
        <x:v>INV-005</x:v>
      </x:c>
      <x:c r="B69" s="2" t="str">
        <x:v>Invoice / Nota Ongkos</x:v>
      </x:c>
      <x:c r="C69" s="2" t="str">
        <x:v>Void Adjustment</x:v>
      </x:c>
      <x:c r="D69" s="2" t="str">
        <x:v>P1</x:v>
      </x:c>
      <x:c r="E69" s="2" t="str">
        <x:v>Positive</x:v>
      </x:c>
      <x:c r="F69" s="2" t="str">
        <x:v>FINANCE/OWNER</x:v>
      </x:c>
      <x:c r="G69" s="2" t="str">
        <x:v>Void klaim/potongan nota.</x:v>
      </x:c>
      <x:c r="H69" s="2" t="str">
        <x:v>Nota punya adjustment aktif.</x:v>
      </x:c>
      <x:c r="I69" s="2" t="str">
        <x:v>1. Buka detail nota
2. Void adjustment
3. Konfirmasi</x:v>
      </x:c>
      <x:c r="J69" s="2" t="str">
        <x:v>Net amount kembali sesuai adjustment aktif; audit tercatat.</x:v>
      </x:c>
      <x:c r="K69" s="2" t="str"/>
      <x:c r="L69" s="2" t="str">
        <x:v>Not Run</x:v>
      </x:c>
      <x:c r="M69" s="2" t="str"/>
      <x:c r="N69" s="2" t="str"/>
      <x:c r="O69" s="2" t="str"/>
      <x:c r="P69" s="2" t="str"/>
      <x:c r="Q69" s="2" t="str"/>
      <x:c r="R69" s="2" t="str"/>
    </x:row>
    <x:row r="70" ht="90" customHeight="1">
      <x:c r="A70" s="2" t="str">
        <x:v>INV-006</x:v>
      </x:c>
      <x:c r="B70" s="2" t="str">
        <x:v>Invoice / Nota Ongkos</x:v>
      </x:c>
      <x:c r="C70" s="2" t="str">
        <x:v>Payment Single Nota</x:v>
      </x:c>
      <x:c r="D70" s="2" t="str">
        <x:v>P0</x:v>
      </x:c>
      <x:c r="E70" s="2" t="str">
        <x:v>E2E</x:v>
      </x:c>
      <x:c r="F70" s="2" t="str">
        <x:v>FINANCE/OWNER</x:v>
      </x:c>
      <x:c r="G70" s="2" t="str">
        <x:v>Catat pembayaran satu nota.</x:v>
      </x:c>
      <x:c r="H70" s="2" t="str">
        <x:v>Nota UNPAID.</x:v>
      </x:c>
      <x:c r="I70" s="2" t="str">
        <x:v>1. Buka detail nota
2. Tambah pembayaran
3. Pilih metode CASH/TRANSFER
4. Simpan</x:v>
      </x:c>
      <x:c r="J70" s="2" t="str">
        <x:v>Payment, income, bankTransaction/kas tercatat; status nota PARTIAL/PAID sesuai nominal.</x:v>
      </x:c>
      <x:c r="K70" s="2" t="str"/>
      <x:c r="L70" s="2" t="str">
        <x:v>Not Run</x:v>
      </x:c>
      <x:c r="M70" s="2" t="str"/>
      <x:c r="N70" s="2" t="str"/>
      <x:c r="O70" s="2" t="str"/>
      <x:c r="P70" s="2" t="str"/>
      <x:c r="Q70" s="2" t="str"/>
      <x:c r="R70" s="2" t="str"/>
    </x:row>
    <x:row r="71" ht="90" customHeight="1">
      <x:c r="A71" s="2" t="str">
        <x:v>INV-007</x:v>
      </x:c>
      <x:c r="B71" s="2" t="str">
        <x:v>Invoice / Nota Ongkos</x:v>
      </x:c>
      <x:c r="C71" s="2" t="str">
        <x:v>Multi Nota Receipt</x:v>
      </x:c>
      <x:c r="D71" s="2" t="str">
        <x:v>P0</x:v>
      </x:c>
      <x:c r="E71" s="2" t="str">
        <x:v>E2E</x:v>
      </x:c>
      <x:c r="F71" s="2" t="str">
        <x:v>FINANCE/OWNER</x:v>
      </x:c>
      <x:c r="G71" s="2" t="str">
        <x:v>Satu penerimaan customer dialokasikan ke beberapa nota.</x:v>
      </x:c>
      <x:c r="H71" s="2" t="str">
        <x:v>Customer punya beberapa nota terbuka.</x:v>
      </x:c>
      <x:c r="I71" s="2" t="str">
        <x:v>1. Buka daftar invoice
2. Catat Penerimaan
3. Pilih customer
4. Alokasikan ke beberapa nota
5. Simpan</x:v>
      </x:c>
      <x:c r="J71" s="2" t="str">
        <x:v>Satu customerReceipt, income, bankTransaction, beberapa payment allocation; status tiap nota sinkron.</x:v>
      </x:c>
      <x:c r="K71" s="2" t="str"/>
      <x:c r="L71" s="2" t="str">
        <x:v>Not Run</x:v>
      </x:c>
      <x:c r="M71" s="2" t="str"/>
      <x:c r="N71" s="2" t="str"/>
      <x:c r="O71" s="2" t="str"/>
      <x:c r="P71" s="2" t="str"/>
      <x:c r="Q71" s="2" t="str"/>
      <x:c r="R71" s="2" t="str"/>
    </x:row>
    <x:row r="72" ht="90" customHeight="1">
      <x:c r="A72" s="2" t="str">
        <x:v>INV-008</x:v>
      </x:c>
      <x:c r="B72" s="2" t="str">
        <x:v>Invoice / Nota Ongkos</x:v>
      </x:c>
      <x:c r="C72" s="2" t="str">
        <x:v>Allocation Guard</x:v>
      </x:c>
      <x:c r="D72" s="2" t="str">
        <x:v>P0</x:v>
      </x:c>
      <x:c r="E72" s="2" t="str">
        <x:v>Negative</x:v>
      </x:c>
      <x:c r="F72" s="2" t="str">
        <x:v>FINANCE/OWNER</x:v>
      </x:c>
      <x:c r="G72" s="2" t="str">
        <x:v>Alokasi receipt tidak boleh melebihi total receipt atau sisa nota.</x:v>
      </x:c>
      <x:c r="H72" s="2" t="str">
        <x:v>Nota terbuka.</x:v>
      </x:c>
      <x:c r="I72" s="2" t="str">
        <x:v>1. Isi nominal receipt
2. Alokasi lebih besar dari receipt/sisa nota
3. Submit</x:v>
      </x:c>
      <x:c r="J72" s="2" t="str">
        <x:v>Submit ditolak; tidak ada partial write.</x:v>
      </x:c>
      <x:c r="K72" s="2" t="str"/>
      <x:c r="L72" s="2" t="str">
        <x:v>Not Run</x:v>
      </x:c>
      <x:c r="M72" s="2" t="str"/>
      <x:c r="N72" s="2" t="str"/>
      <x:c r="O72" s="2" t="str"/>
      <x:c r="P72" s="2" t="str"/>
      <x:c r="Q72" s="2" t="str"/>
      <x:c r="R72" s="2" t="str"/>
    </x:row>
    <x:row r="73" ht="90" customHeight="1">
      <x:c r="A73" s="2" t="str">
        <x:v>INV-009</x:v>
      </x:c>
      <x:c r="B73" s="2" t="str">
        <x:v>Invoice / Nota Ongkos</x:v>
      </x:c>
      <x:c r="C73" s="2" t="str">
        <x:v>Customer Overpayment</x:v>
      </x:c>
      <x:c r="D73" s="2" t="str">
        <x:v>P1</x:v>
      </x:c>
      <x:c r="E73" s="2" t="str">
        <x:v>Positive</x:v>
      </x:c>
      <x:c r="F73" s="2" t="str">
        <x:v>FINANCE/OWNER</x:v>
      </x:c>
      <x:c r="G73" s="2" t="str">
        <x:v>Bayar lebih menjadi kredit customer.</x:v>
      </x:c>
      <x:c r="H73" s="2" t="str">
        <x:v>Nota customer tersedia.</x:v>
      </x:c>
      <x:c r="I73" s="2" t="str">
        <x:v>1. Catat penerimaan &gt; sisa tagihan
2. Simpan</x:v>
      </x:c>
      <x:c r="J73" s="2" t="str">
        <x:v>Overpayment/kredit customer terbentuk dan bisa dilacak.</x:v>
      </x:c>
      <x:c r="K73" s="2" t="str"/>
      <x:c r="L73" s="2" t="str">
        <x:v>Not Run</x:v>
      </x:c>
      <x:c r="M73" s="2" t="str"/>
      <x:c r="N73" s="2" t="str"/>
      <x:c r="O73" s="2" t="str"/>
      <x:c r="P73" s="2" t="str"/>
      <x:c r="Q73" s="2" t="str"/>
      <x:c r="R73" s="2" t="str"/>
    </x:row>
    <x:row r="74" ht="90" customHeight="1">
      <x:c r="A74" s="2" t="str">
        <x:v>INV-010</x:v>
      </x:c>
      <x:c r="B74" s="2" t="str">
        <x:v>Invoice / Nota Ongkos</x:v>
      </x:c>
      <x:c r="C74" s="2" t="str">
        <x:v>Print Nota</x:v>
      </x:c>
      <x:c r="D74" s="2" t="str">
        <x:v>P1</x:v>
      </x:c>
      <x:c r="E74" s="2" t="str">
        <x:v>Positive</x:v>
      </x:c>
      <x:c r="F74" s="2" t="str">
        <x:v>FINANCE/OWNER/OPERASIONAL</x:v>
      </x:c>
      <x:c r="G74" s="2" t="str">
        <x:v>Print nota menampilkan data benar.</x:v>
      </x:c>
      <x:c r="H74" s="2" t="str">
        <x:v>Nota sudah dibuat.</x:v>
      </x:c>
      <x:c r="I74" s="2" t="str">
        <x:v>1. Buka detail nota
2. Print/PDF</x:v>
      </x:c>
      <x:c r="J74" s="2" t="str">
        <x:v>Nomor nota, customer, DO/SJ, item, total/net/payment tampil benar.</x:v>
      </x:c>
      <x:c r="K74" s="2" t="str"/>
      <x:c r="L74" s="2" t="str">
        <x:v>Not Run</x:v>
      </x:c>
      <x:c r="M74" s="2" t="str"/>
      <x:c r="N74" s="2" t="str"/>
      <x:c r="O74" s="2" t="str"/>
      <x:c r="P74" s="2" t="str"/>
      <x:c r="Q74" s="2" t="str"/>
      <x:c r="R74" s="2" t="str"/>
    </x:row>
    <x:row r="75" ht="90" customHeight="1">
      <x:c r="A75" s="2" t="str">
        <x:v>CASH-001</x:v>
      </x:c>
      <x:c r="B75" s="2" t="str">
        <x:v>Rekening &amp; Kas</x:v>
      </x:c>
      <x:c r="C75" s="2" t="str">
        <x:v>Bank Account</x:v>
      </x:c>
      <x:c r="D75" s="2" t="str">
        <x:v>P0</x:v>
      </x:c>
      <x:c r="E75" s="2" t="str">
        <x:v>Positive</x:v>
      </x:c>
      <x:c r="F75" s="2" t="str">
        <x:v>FINANCE/OWNER</x:v>
      </x:c>
      <x:c r="G75" s="2" t="str">
        <x:v>Tambah rekening bank/kas.</x:v>
      </x:c>
      <x:c r="H75" s="2" t="str">
        <x:v>Login finance/owner.</x:v>
      </x:c>
      <x:c r="I75" s="2" t="str">
        <x:v>1. Buka Rekening &amp; Kas
2. Tambah rekening
3. Isi saldo awal
4. Simpan</x:v>
      </x:c>
      <x:c r="J75" s="2" t="str">
        <x:v>Rekening aktif muncul dan bisa dipilih pada transaksi.</x:v>
      </x:c>
      <x:c r="K75" s="2" t="str"/>
      <x:c r="L75" s="2" t="str">
        <x:v>Not Run</x:v>
      </x:c>
      <x:c r="M75" s="2" t="str"/>
      <x:c r="N75" s="2" t="str"/>
      <x:c r="O75" s="2" t="str"/>
      <x:c r="P75" s="2" t="str"/>
      <x:c r="Q75" s="2" t="str"/>
      <x:c r="R75" s="2" t="str"/>
    </x:row>
    <x:row r="76" ht="90" customHeight="1">
      <x:c r="A76" s="2" t="str">
        <x:v>CASH-002</x:v>
      </x:c>
      <x:c r="B76" s="2" t="str">
        <x:v>Rekening &amp; Kas</x:v>
      </x:c>
      <x:c r="C76" s="2" t="str">
        <x:v>Cash Default</x:v>
      </x:c>
      <x:c r="D76" s="2" t="str">
        <x:v>P0</x:v>
      </x:c>
      <x:c r="E76" s="2" t="str">
        <x:v>E2E</x:v>
      </x:c>
      <x:c r="F76" s="2" t="str">
        <x:v>FINANCE/OWNER</x:v>
      </x:c>
      <x:c r="G76" s="2" t="str">
        <x:v>Pembayaran CASH tanpa rekening otomatis ke Kas Tunai.</x:v>
      </x:c>
      <x:c r="H76" s="2" t="str">
        <x:v>Nota UNPAID.</x:v>
      </x:c>
      <x:c r="I76" s="2" t="str">
        <x:v>1. Catat pembayaran CASH
2. Kosongkan rekening bila UI mengizinkan
3. Simpan
4. Buka rekening Kas Tunai</x:v>
      </x:c>
      <x:c r="J76" s="2" t="str">
        <x:v>Payment/income tercatat dan bankTransaction CREDIT ke Kas Tunai terbentuk.</x:v>
      </x:c>
      <x:c r="K76" s="2" t="str"/>
      <x:c r="L76" s="2" t="str">
        <x:v>Not Run</x:v>
      </x:c>
      <x:c r="M76" s="2" t="str"/>
      <x:c r="N76" s="2" t="str"/>
      <x:c r="O76" s="2" t="str"/>
      <x:c r="P76" s="2" t="str"/>
      <x:c r="Q76" s="2" t="str"/>
      <x:c r="R76" s="2" t="str"/>
    </x:row>
    <x:row r="77" ht="90" customHeight="1">
      <x:c r="A77" s="2" t="str">
        <x:v>CASH-003</x:v>
      </x:c>
      <x:c r="B77" s="2" t="str">
        <x:v>Rekening &amp; Kas</x:v>
      </x:c>
      <x:c r="C77" s="2" t="str">
        <x:v>Transfer</x:v>
      </x:c>
      <x:c r="D77" s="2" t="str">
        <x:v>P1</x:v>
      </x:c>
      <x:c r="E77" s="2" t="str">
        <x:v>Positive</x:v>
      </x:c>
      <x:c r="F77" s="2" t="str">
        <x:v>FINANCE/OWNER</x:v>
      </x:c>
      <x:c r="G77" s="2" t="str">
        <x:v>Transfer antar rekening.</x:v>
      </x:c>
      <x:c r="H77" s="2" t="str">
        <x:v>Minimal dua rekening aktif.</x:v>
      </x:c>
      <x:c r="I77" s="2" t="str">
        <x:v>1. Buka Rekening &amp; Kas
2. Buat transfer
3. Isi sumber, tujuan, nominal
4. Simpan</x:v>
      </x:c>
      <x:c r="J77" s="2" t="str">
        <x:v>BankTransaction debit/credit sesuai; saldo kedua rekening berubah.</x:v>
      </x:c>
      <x:c r="K77" s="2" t="str"/>
      <x:c r="L77" s="2" t="str">
        <x:v>Not Run</x:v>
      </x:c>
      <x:c r="M77" s="2" t="str"/>
      <x:c r="N77" s="2" t="str"/>
      <x:c r="O77" s="2" t="str"/>
      <x:c r="P77" s="2" t="str"/>
      <x:c r="Q77" s="2" t="str"/>
      <x:c r="R77" s="2" t="str"/>
    </x:row>
    <x:row r="78" ht="90" customHeight="1">
      <x:c r="A78" s="2" t="str">
        <x:v>CASH-004</x:v>
      </x:c>
      <x:c r="B78" s="2" t="str">
        <x:v>Rekening &amp; Kas</x:v>
      </x:c>
      <x:c r="C78" s="2" t="str">
        <x:v>Mutation Trace</x:v>
      </x:c>
      <x:c r="D78" s="2" t="str">
        <x:v>P1</x:v>
      </x:c>
      <x:c r="E78" s="2" t="str">
        <x:v>Regression</x:v>
      </x:c>
      <x:c r="F78" s="2" t="str">
        <x:v>FINANCE/OWNER</x:v>
      </x:c>
      <x:c r="G78" s="2" t="str">
        <x:v>Mutasi rekening dari berbagai modul terlihat konsisten.</x:v>
      </x:c>
      <x:c r="H78" s="2" t="str">
        <x:v>Ada transaksi nota, expense, voucher.</x:v>
      </x:c>
      <x:c r="I78" s="2" t="str">
        <x:v>1. Buka detail rekening
2. Filter periode
3. Bandingkan dengan dokumen sumber</x:v>
      </x:c>
      <x:c r="J78" s="2" t="str">
        <x:v>Mutasi punya referensi dokumen, nominal, tanggal, debit/credit benar.</x:v>
      </x:c>
      <x:c r="K78" s="2" t="str"/>
      <x:c r="L78" s="2" t="str">
        <x:v>Not Run</x:v>
      </x:c>
      <x:c r="M78" s="2" t="str"/>
      <x:c r="N78" s="2" t="str"/>
      <x:c r="O78" s="2" t="str"/>
      <x:c r="P78" s="2" t="str"/>
      <x:c r="Q78" s="2" t="str"/>
      <x:c r="R78" s="2" t="str"/>
    </x:row>
    <x:row r="79" ht="90" customHeight="1">
      <x:c r="A79" s="2" t="str">
        <x:v>VCH-001</x:v>
      </x:c>
      <x:c r="B79" s="2" t="str">
        <x:v>Uang Jalan Trip</x:v>
      </x:c>
      <x:c r="C79" s="2" t="str">
        <x:v>Issue Voucher</x:v>
      </x:c>
      <x:c r="D79" s="2" t="str">
        <x:v>P0</x:v>
      </x:c>
      <x:c r="E79" s="2" t="str">
        <x:v>E2E</x:v>
      </x:c>
      <x:c r="F79" s="2" t="str">
        <x:v>OWNER/OPERASIONAL</x:v>
      </x:c>
      <x:c r="G79" s="2" t="str">
        <x:v>Terbit uang jalan trip dari DO.</x:v>
      </x:c>
      <x:c r="H79" s="2" t="str">
        <x:v>DO aktif eligible, rekening tersedia.</x:v>
      </x:c>
      <x:c r="I79" s="2" t="str">
        <x:v>1. Buka Uang Jalan Trip
2. Klik Baru
3. Pilih DO
4. Isi uang awal dan rekening
5. Simpan</x:v>
      </x:c>
      <x:c r="J79" s="2" t="str">
        <x:v>Voucher ISSUED, driver/vehicle/route/upah dari DO, bankTransaction DEBIT, saldo berkurang.</x:v>
      </x:c>
      <x:c r="K79" s="2" t="str"/>
      <x:c r="L79" s="2" t="str">
        <x:v>Not Run</x:v>
      </x:c>
      <x:c r="M79" s="2" t="str"/>
      <x:c r="N79" s="2" t="str"/>
      <x:c r="O79" s="2" t="str"/>
      <x:c r="P79" s="2" t="str"/>
      <x:c r="Q79" s="2" t="str"/>
      <x:c r="R79" s="2" t="str"/>
    </x:row>
    <x:row r="80" ht="90" customHeight="1">
      <x:c r="A80" s="2" t="str">
        <x:v>VCH-002</x:v>
      </x:c>
      <x:c r="B80" s="2" t="str">
        <x:v>Uang Jalan Trip</x:v>
      </x:c>
      <x:c r="C80" s="2" t="str">
        <x:v>Top Up</x:v>
      </x:c>
      <x:c r="D80" s="2" t="str">
        <x:v>P0</x:v>
      </x:c>
      <x:c r="E80" s="2" t="str">
        <x:v>Positive</x:v>
      </x:c>
      <x:c r="F80" s="2" t="str">
        <x:v>OWNER/OPERASIONAL</x:v>
      </x:c>
      <x:c r="G80" s="2" t="str">
        <x:v>Tambah top up uang jalan.</x:v>
      </x:c>
      <x:c r="H80" s="2" t="str">
        <x:v>Voucher ISSUED.</x:v>
      </x:c>
      <x:c r="I80" s="2" t="str">
        <x:v>1. Buka detail voucher
2. Tambah pencairan/top up
3. Pilih rekening
4. Simpan</x:v>
      </x:c>
      <x:c r="J80" s="2" t="str">
        <x:v>Disbursement aktif, total issued/balance berubah, bankTransaction DEBIT terbentuk.</x:v>
      </x:c>
      <x:c r="K80" s="2" t="str"/>
      <x:c r="L80" s="2" t="str">
        <x:v>Not Run</x:v>
      </x:c>
      <x:c r="M80" s="2" t="str"/>
      <x:c r="N80" s="2" t="str"/>
      <x:c r="O80" s="2" t="str"/>
      <x:c r="P80" s="2" t="str"/>
      <x:c r="Q80" s="2" t="str"/>
      <x:c r="R80" s="2" t="str"/>
    </x:row>
    <x:row r="81" ht="90" customHeight="1">
      <x:c r="A81" s="2" t="str">
        <x:v>VCH-003</x:v>
      </x:c>
      <x:c r="B81" s="2" t="str">
        <x:v>Uang Jalan Trip</x:v>
      </x:c>
      <x:c r="C81" s="2" t="str">
        <x:v>Trip Expenses</x:v>
      </x:c>
      <x:c r="D81" s="2" t="str">
        <x:v>P0</x:v>
      </x:c>
      <x:c r="E81" s="2" t="str">
        <x:v>Positive</x:v>
      </x:c>
      <x:c r="F81" s="2" t="str">
        <x:v>OWNER/OPERASIONAL</x:v>
      </x:c>
      <x:c r="G81" s="2" t="str">
        <x:v>Tambah biaya perjalanan aktual.</x:v>
      </x:c>
      <x:c r="H81" s="2" t="str">
        <x:v>Voucher ISSUED.</x:v>
      </x:c>
      <x:c r="I81" s="2" t="str">
        <x:v>1. Buka detail voucher
2. Tambah item BBM/tol/parkir
3. Simpan</x:v>
      </x:c>
      <x:c r="J81" s="2" t="str">
        <x:v>Item tersimpan, total spent/claim/balance dihitung benar.</x:v>
      </x:c>
      <x:c r="K81" s="2" t="str"/>
      <x:c r="L81" s="2" t="str">
        <x:v>Not Run</x:v>
      </x:c>
      <x:c r="M81" s="2" t="str"/>
      <x:c r="N81" s="2" t="str"/>
      <x:c r="O81" s="2" t="str"/>
      <x:c r="P81" s="2" t="str"/>
      <x:c r="Q81" s="2" t="str"/>
      <x:c r="R81" s="2" t="str"/>
    </x:row>
    <x:row r="82" ht="90" customHeight="1">
      <x:c r="A82" s="2" t="str">
        <x:v>VCH-004</x:v>
      </x:c>
      <x:c r="B82" s="2" t="str">
        <x:v>Uang Jalan Trip</x:v>
      </x:c>
      <x:c r="C82" s="2" t="str">
        <x:v>Settlement Return</x:v>
      </x:c>
      <x:c r="D82" s="2" t="str">
        <x:v>P0</x:v>
      </x:c>
      <x:c r="E82" s="2" t="str">
        <x:v>E2E</x:v>
      </x:c>
      <x:c r="F82" s="2" t="str">
        <x:v>OWNER/OPERASIONAL/FINANCE</x:v>
      </x:c>
      <x:c r="G82" s="2" t="str">
        <x:v>Settlement dengan sisa uang kembali.</x:v>
      </x:c>
      <x:c r="H82" s="2" t="str">
        <x:v>Voucher punya sisa.</x:v>
      </x:c>
      <x:c r="I82" s="2" t="str">
        <x:v>1. Buka detail voucher
2. Settle
3. Pilih rekening terima kembali
4. Simpan</x:v>
      </x:c>
      <x:c r="J82" s="2" t="str">
        <x:v>Expense biaya dan upah diposting, bankTransaction CREDIT untuk sisa, status SETTLED.</x:v>
      </x:c>
      <x:c r="K82" s="2" t="str"/>
      <x:c r="L82" s="2" t="str">
        <x:v>Not Run</x:v>
      </x:c>
      <x:c r="M82" s="2" t="str"/>
      <x:c r="N82" s="2" t="str"/>
      <x:c r="O82" s="2" t="str"/>
      <x:c r="P82" s="2" t="str"/>
      <x:c r="Q82" s="2" t="str"/>
      <x:c r="R82" s="2" t="str"/>
    </x:row>
    <x:row r="83" ht="90" customHeight="1">
      <x:c r="A83" s="2" t="str">
        <x:v>VCH-005</x:v>
      </x:c>
      <x:c r="B83" s="2" t="str">
        <x:v>Uang Jalan Trip</x:v>
      </x:c>
      <x:c r="C83" s="2" t="str">
        <x:v>Settlement Extra Pay</x:v>
      </x:c>
      <x:c r="D83" s="2" t="str">
        <x:v>P0</x:v>
      </x:c>
      <x:c r="E83" s="2" t="str">
        <x:v>E2E</x:v>
      </x:c>
      <x:c r="F83" s="2" t="str">
        <x:v>OWNER/OPERASIONAL/FINANCE</x:v>
      </x:c>
      <x:c r="G83" s="2" t="str">
        <x:v>Settlement dengan kekurangan bayar ke supir.</x:v>
      </x:c>
      <x:c r="H83" s="2" t="str">
        <x:v>Voucher total biaya+upah &gt; uang issued.</x:v>
      </x:c>
      <x:c r="I83" s="2" t="str">
        <x:v>1. Settle voucher
2. Pilih rekening bayar tambahan
3. Simpan</x:v>
      </x:c>
      <x:c r="J83" s="2" t="str">
        <x:v>Expense diposting, bankTransaction DEBIT tambahan, status SETTLED.</x:v>
      </x:c>
      <x:c r="K83" s="2" t="str"/>
      <x:c r="L83" s="2" t="str">
        <x:v>Not Run</x:v>
      </x:c>
      <x:c r="M83" s="2" t="str"/>
      <x:c r="N83" s="2" t="str"/>
      <x:c r="O83" s="2" t="str"/>
      <x:c r="P83" s="2" t="str"/>
      <x:c r="Q83" s="2" t="str"/>
      <x:c r="R83" s="2" t="str"/>
    </x:row>
    <x:row r="84" ht="90" customHeight="1">
      <x:c r="A84" s="2" t="str">
        <x:v>VCH-006</x:v>
      </x:c>
      <x:c r="B84" s="2" t="str">
        <x:v>Uang Jalan Trip</x:v>
      </x:c>
      <x:c r="C84" s="2" t="str">
        <x:v>Duplicate Guard</x:v>
      </x:c>
      <x:c r="D84" s="2" t="str">
        <x:v>P0</x:v>
      </x:c>
      <x:c r="E84" s="2" t="str">
        <x:v>Negative</x:v>
      </x:c>
      <x:c r="F84" s="2" t="str">
        <x:v>OWNER/OPERASIONAL</x:v>
      </x:c>
      <x:c r="G84" s="2" t="str">
        <x:v>DO yang sudah punya voucher tidak boleh masuk borongan/double voucher.</x:v>
      </x:c>
      <x:c r="H84" s="2" t="str">
        <x:v>DO sudah punya voucher.</x:v>
      </x:c>
      <x:c r="I84" s="2" t="str">
        <x:v>1. Buat voucher lagi atau slip borongan dari DO sama</x:v>
      </x:c>
      <x:c r="J84" s="2" t="str">
        <x:v>Submit ditolak; tidak ada double settlement driver.</x:v>
      </x:c>
      <x:c r="K84" s="2" t="str"/>
      <x:c r="L84" s="2" t="str">
        <x:v>Not Run</x:v>
      </x:c>
      <x:c r="M84" s="2" t="str"/>
      <x:c r="N84" s="2" t="str"/>
      <x:c r="O84" s="2" t="str"/>
      <x:c r="P84" s="2" t="str"/>
      <x:c r="Q84" s="2" t="str"/>
      <x:c r="R84" s="2" t="str"/>
    </x:row>
    <x:row r="85" ht="90" customHeight="1">
      <x:c r="A85" s="2" t="str">
        <x:v>BOR-001</x:v>
      </x:c>
      <x:c r="B85" s="2" t="str">
        <x:v>Borongan</x:v>
      </x:c>
      <x:c r="C85" s="2" t="str">
        <x:v>Create Slip</x:v>
      </x:c>
      <x:c r="D85" s="2" t="str">
        <x:v>P1</x:v>
      </x:c>
      <x:c r="E85" s="2" t="str">
        <x:v>Positive</x:v>
      </x:c>
      <x:c r="F85" s="2" t="str">
        <x:v>OWNER</x:v>
      </x:c>
      <x:c r="G85" s="2" t="str">
        <x:v>Buat slip borongan dari DO eligible.</x:v>
      </x:c>
      <x:c r="H85" s="2" t="str">
        <x:v>DO delivered eligible tanpa voucher.</x:v>
      </x:c>
      <x:c r="I85" s="2" t="str">
        <x:v>1. Buka Borongan
2. Klik Baru
3. Pilih DO
4. Simpan</x:v>
      </x:c>
      <x:c r="J85" s="2" t="str">
        <x:v>Slip UNPAID terbentuk dengan item DO dan upah sesuai tarip borongan.</x:v>
      </x:c>
      <x:c r="K85" s="2" t="str"/>
      <x:c r="L85" s="2" t="str">
        <x:v>Not Run</x:v>
      </x:c>
      <x:c r="M85" s="2" t="str"/>
      <x:c r="N85" s="2" t="str"/>
      <x:c r="O85" s="2" t="str"/>
      <x:c r="P85" s="2" t="str"/>
      <x:c r="Q85" s="2" t="str"/>
      <x:c r="R85" s="2" t="str"/>
    </x:row>
    <x:row r="86" ht="90" customHeight="1">
      <x:c r="A86" s="2" t="str">
        <x:v>BOR-002</x:v>
      </x:c>
      <x:c r="B86" s="2" t="str">
        <x:v>Borongan</x:v>
      </x:c>
      <x:c r="C86" s="2" t="str">
        <x:v>Payment</x:v>
      </x:c>
      <x:c r="D86" s="2" t="str">
        <x:v>P1</x:v>
      </x:c>
      <x:c r="E86" s="2" t="str">
        <x:v>E2E</x:v>
      </x:c>
      <x:c r="F86" s="2" t="str">
        <x:v>OWNER</x:v>
      </x:c>
      <x:c r="G86" s="2" t="str">
        <x:v>Bayar borongan cash/transfer.</x:v>
      </x:c>
      <x:c r="H86" s="2" t="str">
        <x:v>Slip UNPAID.</x:v>
      </x:c>
      <x:c r="I86" s="2" t="str">
        <x:v>1. Buka detail borongan
2. Klik Bayar
3. Pilih metode/rekening
4. Simpan</x:v>
      </x:c>
      <x:c r="J86" s="2" t="str">
        <x:v>Status PAID, expense Borongan Supir dibuat, bank/kas bergerak sesuai metode.</x:v>
      </x:c>
      <x:c r="K86" s="2" t="str"/>
      <x:c r="L86" s="2" t="str">
        <x:v>Not Run</x:v>
      </x:c>
      <x:c r="M86" s="2" t="str"/>
      <x:c r="N86" s="2" t="str"/>
      <x:c r="O86" s="2" t="str"/>
      <x:c r="P86" s="2" t="str"/>
      <x:c r="Q86" s="2" t="str"/>
      <x:c r="R86" s="2" t="str"/>
    </x:row>
    <x:row r="87" ht="90" customHeight="1">
      <x:c r="A87" s="2" t="str">
        <x:v>BOR-003</x:v>
      </x:c>
      <x:c r="B87" s="2" t="str">
        <x:v>Borongan</x:v>
      </x:c>
      <x:c r="C87" s="2" t="str">
        <x:v>Payment Guard</x:v>
      </x:c>
      <x:c r="D87" s="2" t="str">
        <x:v>P1</x:v>
      </x:c>
      <x:c r="E87" s="2" t="str">
        <x:v>Negative</x:v>
      </x:c>
      <x:c r="F87" s="2" t="str">
        <x:v>OWNER</x:v>
      </x:c>
      <x:c r="G87" s="2" t="str">
        <x:v>Total pembayaran borongan harus sama dengan total slip.</x:v>
      </x:c>
      <x:c r="H87" s="2" t="str">
        <x:v>Slip UNPAID.</x:v>
      </x:c>
      <x:c r="I87" s="2" t="str">
        <x:v>1. Bayar dengan nominal tidak sama
2. Submit</x:v>
      </x:c>
      <x:c r="J87" s="2" t="str">
        <x:v>Ditolak; slip tetap UNPAID.</x:v>
      </x:c>
      <x:c r="K87" s="2" t="str"/>
      <x:c r="L87" s="2" t="str">
        <x:v>Not Run</x:v>
      </x:c>
      <x:c r="M87" s="2" t="str"/>
      <x:c r="N87" s="2" t="str"/>
      <x:c r="O87" s="2" t="str"/>
      <x:c r="P87" s="2" t="str"/>
      <x:c r="Q87" s="2" t="str"/>
      <x:c r="R87" s="2" t="str"/>
    </x:row>
    <x:row r="88" ht="90" customHeight="1">
      <x:c r="A88" s="2" t="str">
        <x:v>EXP-001</x:v>
      </x:c>
      <x:c r="B88" s="2" t="str">
        <x:v>Pengeluaran</x:v>
      </x:c>
      <x:c r="C88" s="2" t="str">
        <x:v>Create Expense Transfer</x:v>
      </x:c>
      <x:c r="D88" s="2" t="str">
        <x:v>P0</x:v>
      </x:c>
      <x:c r="E88" s="2" t="str">
        <x:v>Positive</x:v>
      </x:c>
      <x:c r="F88" s="2" t="str">
        <x:v>FINANCE/OWNER/OPERASIONAL</x:v>
      </x:c>
      <x:c r="G88" s="2" t="str">
        <x:v>Buat pengeluaran dengan rekening bank.</x:v>
      </x:c>
      <x:c r="H88" s="2" t="str">
        <x:v>Kategori biaya dan rekening tersedia.</x:v>
      </x:c>
      <x:c r="I88" s="2" t="str">
        <x:v>1. Buka Pengeluaran
2. Klik Baru
3. Isi kategori, nominal, metode transfer, rekening
4. Simpan</x:v>
      </x:c>
      <x:c r="J88" s="2" t="str">
        <x:v>Expense tercatat dan bankTransaction DEBIT mengurangi saldo rekening.</x:v>
      </x:c>
      <x:c r="K88" s="2" t="str"/>
      <x:c r="L88" s="2" t="str">
        <x:v>Not Run</x:v>
      </x:c>
      <x:c r="M88" s="2" t="str"/>
      <x:c r="N88" s="2" t="str"/>
      <x:c r="O88" s="2" t="str"/>
      <x:c r="P88" s="2" t="str"/>
      <x:c r="Q88" s="2" t="str"/>
      <x:c r="R88" s="2" t="str"/>
    </x:row>
    <x:row r="89" ht="90" customHeight="1">
      <x:c r="A89" s="2" t="str">
        <x:v>EXP-002</x:v>
      </x:c>
      <x:c r="B89" s="2" t="str">
        <x:v>Pengeluaran</x:v>
      </x:c>
      <x:c r="C89" s="2" t="str">
        <x:v>Create Expense Cash</x:v>
      </x:c>
      <x:c r="D89" s="2" t="str">
        <x:v>P0</x:v>
      </x:c>
      <x:c r="E89" s="2" t="str">
        <x:v>Positive</x:v>
      </x:c>
      <x:c r="F89" s="2" t="str">
        <x:v>FINANCE/OWNER/OPERASIONAL</x:v>
      </x:c>
      <x:c r="G89" s="2" t="str">
        <x:v>Buat pengeluaran tunai.</x:v>
      </x:c>
      <x:c r="H89" s="2" t="str">
        <x:v>Kas Tunai tersedia.</x:v>
      </x:c>
      <x:c r="I89" s="2" t="str">
        <x:v>1. Buat expense CASH
2. Pilih/kosongkan rekening sesuai flow
3. Simpan</x:v>
      </x:c>
      <x:c r="J89" s="2" t="str">
        <x:v>Expense masuk laba rugi; jika diarahkan ke Kas Tunai, arus kas ikut berkurang.</x:v>
      </x:c>
      <x:c r="K89" s="2" t="str"/>
      <x:c r="L89" s="2" t="str">
        <x:v>Not Run</x:v>
      </x:c>
      <x:c r="M89" s="2" t="str"/>
      <x:c r="N89" s="2" t="str"/>
      <x:c r="O89" s="2" t="str"/>
      <x:c r="P89" s="2" t="str"/>
      <x:c r="Q89" s="2" t="str"/>
      <x:c r="R89" s="2" t="str"/>
    </x:row>
    <x:row r="90" ht="90" customHeight="1">
      <x:c r="A90" s="2" t="str">
        <x:v>EXP-003</x:v>
      </x:c>
      <x:c r="B90" s="2" t="str">
        <x:v>Pengeluaran</x:v>
      </x:c>
      <x:c r="C90" s="2" t="str">
        <x:v>Privacy</x:v>
      </x:c>
      <x:c r="D90" s="2" t="str">
        <x:v>P1</x:v>
      </x:c>
      <x:c r="E90" s="2" t="str">
        <x:v>RBAC</x:v>
      </x:c>
      <x:c r="F90" s="2" t="str">
        <x:v>OWNER/FINANCE/OPERASIONAL</x:v>
      </x:c>
      <x:c r="G90" s="2" t="str">
        <x:v>Expense owner-only tidak terlihat oleh role tidak berhak.</x:v>
      </x:c>
      <x:c r="H90" s="2" t="str">
        <x:v>Ada expense privacy ownerOnly.</x:v>
      </x:c>
      <x:c r="I90" s="2" t="str">
        <x:v>1. Login owner dan finance/operasional
2. Bandingkan daftar expense</x:v>
      </x:c>
      <x:c r="J90" s="2" t="str">
        <x:v>Role selain owner tidak melihat data owner-only.</x:v>
      </x:c>
      <x:c r="K90" s="2" t="str"/>
      <x:c r="L90" s="2" t="str">
        <x:v>Not Run</x:v>
      </x:c>
      <x:c r="M90" s="2" t="str"/>
      <x:c r="N90" s="2" t="str"/>
      <x:c r="O90" s="2" t="str"/>
      <x:c r="P90" s="2" t="str"/>
      <x:c r="Q90" s="2" t="str"/>
      <x:c r="R90" s="2" t="str"/>
    </x:row>
    <x:row r="91" ht="90" customHeight="1">
      <x:c r="A91" s="2" t="str">
        <x:v>ACC-001</x:v>
      </x:c>
      <x:c r="B91" s="2" t="str">
        <x:v>Accounting &amp; Reports</x:v>
      </x:c>
      <x:c r="C91" s="2" t="str">
        <x:v>Laba Rugi</x:v>
      </x:c>
      <x:c r="D91" s="2" t="str">
        <x:v>P0</x:v>
      </x:c>
      <x:c r="E91" s="2" t="str">
        <x:v>Regression</x:v>
      </x:c>
      <x:c r="F91" s="2" t="str">
        <x:v>FINANCE/OWNER</x:v>
      </x:c>
      <x:c r="G91" s="2" t="str">
        <x:v>Laporan laba rugi membaca payment dan expense.</x:v>
      </x:c>
      <x:c r="H91" s="2" t="str">
        <x:v>Ada transaksi nota/expense.</x:v>
      </x:c>
      <x:c r="I91" s="2" t="str">
        <x:v>1. Buka Laporan Keuangan
2. Tab Laba Rugi
3. Filter periode</x:v>
      </x:c>
      <x:c r="J91" s="2" t="str">
        <x:v>Pendapatan dari payment, biaya dari expense; net profit benar.</x:v>
      </x:c>
      <x:c r="K91" s="2" t="str"/>
      <x:c r="L91" s="2" t="str">
        <x:v>Not Run</x:v>
      </x:c>
      <x:c r="M91" s="2" t="str"/>
      <x:c r="N91" s="2" t="str"/>
      <x:c r="O91" s="2" t="str"/>
      <x:c r="P91" s="2" t="str"/>
      <x:c r="Q91" s="2" t="str"/>
      <x:c r="R91" s="2" t="str"/>
    </x:row>
    <x:row r="92" ht="90" customHeight="1">
      <x:c r="A92" s="2" t="str">
        <x:v>ACC-002</x:v>
      </x:c>
      <x:c r="B92" s="2" t="str">
        <x:v>Accounting &amp; Reports</x:v>
      </x:c>
      <x:c r="C92" s="2" t="str">
        <x:v>Arus Kas</x:v>
      </x:c>
      <x:c r="D92" s="2" t="str">
        <x:v>P0</x:v>
      </x:c>
      <x:c r="E92" s="2" t="str">
        <x:v>Regression</x:v>
      </x:c>
      <x:c r="F92" s="2" t="str">
        <x:v>FINANCE/OWNER</x:v>
      </x:c>
      <x:c r="G92" s="2" t="str">
        <x:v>Arus kas membaca bankTransaction termasuk Kas Tunai.</x:v>
      </x:c>
      <x:c r="H92" s="2" t="str">
        <x:v>Ada transaksi cash dan transfer.</x:v>
      </x:c>
      <x:c r="I92" s="2" t="str">
        <x:v>1. Buka Laporan Keuangan
2. Tab Arus Kas
3. Filter periode</x:v>
      </x:c>
      <x:c r="J92" s="2" t="str">
        <x:v>Cash/bank movement sesuai mutasi rekening; transaksi tanpa akun tidak muncul di arus kas.</x:v>
      </x:c>
      <x:c r="K92" s="2" t="str"/>
      <x:c r="L92" s="2" t="str">
        <x:v>Not Run</x:v>
      </x:c>
      <x:c r="M92" s="2" t="str"/>
      <x:c r="N92" s="2" t="str"/>
      <x:c r="O92" s="2" t="str"/>
      <x:c r="P92" s="2" t="str"/>
      <x:c r="Q92" s="2" t="str"/>
      <x:c r="R92" s="2" t="str"/>
    </x:row>
    <x:row r="93" ht="90" customHeight="1">
      <x:c r="A93" s="2" t="str">
        <x:v>ACC-003</x:v>
      </x:c>
      <x:c r="B93" s="2" t="str">
        <x:v>Accounting &amp; Reports</x:v>
      </x:c>
      <x:c r="C93" s="2" t="str">
        <x:v>Jurnal Umum</x:v>
      </x:c>
      <x:c r="D93" s="2" t="str">
        <x:v>P1</x:v>
      </x:c>
      <x:c r="E93" s="2" t="str">
        <x:v>Positive</x:v>
      </x:c>
      <x:c r="F93" s="2" t="str">
        <x:v>FINANCE/OWNER</x:v>
      </x:c>
      <x:c r="G93" s="2" t="str">
        <x:v>Jurnal otomatis dan manual terlihat.</x:v>
      </x:c>
      <x:c r="H93" s="2" t="str">
        <x:v>Ada transaksi finance.</x:v>
      </x:c>
      <x:c r="I93" s="2" t="str">
        <x:v>1. Buka Jurnal Umum
2. Filter periode/source
3. Buka detail</x:v>
      </x:c>
      <x:c r="J93" s="2" t="str">
        <x:v>Entry posted terlihat dengan debit/credit seimbang dan referensi dokumen.</x:v>
      </x:c>
      <x:c r="K93" s="2" t="str"/>
      <x:c r="L93" s="2" t="str">
        <x:v>Not Run</x:v>
      </x:c>
      <x:c r="M93" s="2" t="str"/>
      <x:c r="N93" s="2" t="str"/>
      <x:c r="O93" s="2" t="str"/>
      <x:c r="P93" s="2" t="str"/>
      <x:c r="Q93" s="2" t="str"/>
      <x:c r="R93" s="2" t="str"/>
    </x:row>
    <x:row r="94" ht="90" customHeight="1">
      <x:c r="A94" s="2" t="str">
        <x:v>ACC-004</x:v>
      </x:c>
      <x:c r="B94" s="2" t="str">
        <x:v>Accounting &amp; Reports</x:v>
      </x:c>
      <x:c r="C94" s="2" t="str">
        <x:v>Buku Besar</x:v>
      </x:c>
      <x:c r="D94" s="2" t="str">
        <x:v>P1</x:v>
      </x:c>
      <x:c r="E94" s="2" t="str">
        <x:v>Positive</x:v>
      </x:c>
      <x:c r="F94" s="2" t="str">
        <x:v>FINANCE/OWNER</x:v>
      </x:c>
      <x:c r="G94" s="2" t="str">
        <x:v>Buku besar menampilkan mutasi per akun.</x:v>
      </x:c>
      <x:c r="H94" s="2" t="str">
        <x:v>Chart of account tersedia.</x:v>
      </x:c>
      <x:c r="I94" s="2" t="str">
        <x:v>1. Buka Buku Besar
2. Pilih akun/periode</x:v>
      </x:c>
      <x:c r="J94" s="2" t="str">
        <x:v>Saldo awal, debit, kredit, saldo akhir benar.</x:v>
      </x:c>
      <x:c r="K94" s="2" t="str"/>
      <x:c r="L94" s="2" t="str">
        <x:v>Not Run</x:v>
      </x:c>
      <x:c r="M94" s="2" t="str"/>
      <x:c r="N94" s="2" t="str"/>
      <x:c r="O94" s="2" t="str"/>
      <x:c r="P94" s="2" t="str"/>
      <x:c r="Q94" s="2" t="str"/>
      <x:c r="R94" s="2" t="str"/>
    </x:row>
    <x:row r="95" ht="90" customHeight="1">
      <x:c r="A95" s="2" t="str">
        <x:v>ACC-005</x:v>
      </x:c>
      <x:c r="B95" s="2" t="str">
        <x:v>Accounting &amp; Reports</x:v>
      </x:c>
      <x:c r="C95" s="2" t="str">
        <x:v>Akun Perkiraan</x:v>
      </x:c>
      <x:c r="D95" s="2" t="str">
        <x:v>P1</x:v>
      </x:c>
      <x:c r="E95" s="2" t="str">
        <x:v>Positive</x:v>
      </x:c>
      <x:c r="F95" s="2" t="str">
        <x:v>FINANCE/OWNER</x:v>
      </x:c>
      <x:c r="G95" s="2" t="str">
        <x:v>Kelola akun perkiraan sesuai hak akses.</x:v>
      </x:c>
      <x:c r="H95" s="2" t="str">
        <x:v>Login owner/finance.</x:v>
      </x:c>
      <x:c r="I95" s="2" t="str">
        <x:v>1. Buka Akun Perkiraan
2. Tambah/edit akun non-sistem
3. Simpan</x:v>
      </x:c>
      <x:c r="J95" s="2" t="str">
        <x:v>Akun tampil dan bisa digunakan sesuai rule; akun sistem tidak rusak.</x:v>
      </x:c>
      <x:c r="K95" s="2" t="str"/>
      <x:c r="L95" s="2" t="str">
        <x:v>Not Run</x:v>
      </x:c>
      <x:c r="M95" s="2" t="str"/>
      <x:c r="N95" s="2" t="str"/>
      <x:c r="O95" s="2" t="str"/>
      <x:c r="P95" s="2" t="str"/>
      <x:c r="Q95" s="2" t="str"/>
      <x:c r="R95" s="2" t="str"/>
    </x:row>
    <x:row r="96" ht="90" customHeight="1">
      <x:c r="A96" s="2" t="str">
        <x:v>INVSTK-001</x:v>
      </x:c>
      <x:c r="B96" s="2" t="str">
        <x:v>Gudang &amp; Pembelian</x:v>
      </x:c>
      <x:c r="C96" s="2" t="str">
        <x:v>Supplier</x:v>
      </x:c>
      <x:c r="D96" s="2" t="str">
        <x:v>P1</x:v>
      </x:c>
      <x:c r="E96" s="2" t="str">
        <x:v>Positive</x:v>
      </x:c>
      <x:c r="F96" s="2" t="str">
        <x:v>OWNER/OPERASIONAL</x:v>
      </x:c>
      <x:c r="G96" s="2" t="str">
        <x:v>CRUD supplier.</x:v>
      </x:c>
      <x:c r="H96" s="2" t="str">
        <x:v>Login role berhak.</x:v>
      </x:c>
      <x:c r="I96" s="2" t="str">
        <x:v>1. Buka Supplier
2. Tambah supplier
3. Edit kontak/status
4. Simpan</x:v>
      </x:c>
      <x:c r="J96" s="2" t="str">
        <x:v>Supplier tersimpan dan bisa dipilih di pembelian.</x:v>
      </x:c>
      <x:c r="K96" s="2" t="str"/>
      <x:c r="L96" s="2" t="str">
        <x:v>Not Run</x:v>
      </x:c>
      <x:c r="M96" s="2" t="str"/>
      <x:c r="N96" s="2" t="str"/>
      <x:c r="O96" s="2" t="str"/>
      <x:c r="P96" s="2" t="str"/>
      <x:c r="Q96" s="2" t="str"/>
      <x:c r="R96" s="2" t="str"/>
    </x:row>
    <x:row r="97" ht="90" customHeight="1">
      <x:c r="A97" s="2" t="str">
        <x:v>INVSTK-002</x:v>
      </x:c>
      <x:c r="B97" s="2" t="str">
        <x:v>Gudang &amp; Pembelian</x:v>
      </x:c>
      <x:c r="C97" s="2" t="str">
        <x:v>Barang Gudang</x:v>
      </x:c>
      <x:c r="D97" s="2" t="str">
        <x:v>P1</x:v>
      </x:c>
      <x:c r="E97" s="2" t="str">
        <x:v>Positive</x:v>
      </x:c>
      <x:c r="F97" s="2" t="str">
        <x:v>OWNER/OPERASIONAL</x:v>
      </x:c>
      <x:c r="G97" s="2" t="str">
        <x:v>Tambah barang gudang.</x:v>
      </x:c>
      <x:c r="H97" s="2" t="str">
        <x:v>Supplier opsional tersedia.</x:v>
      </x:c>
      <x:c r="I97" s="2" t="str">
        <x:v>1. Buka Barang Gudang
2. Tambah item
3. Isi satuan, stok minimum
4. Simpan</x:v>
      </x:c>
      <x:c r="J97" s="2" t="str">
        <x:v>Item muncul di inventory dan stock recap.</x:v>
      </x:c>
      <x:c r="K97" s="2" t="str"/>
      <x:c r="L97" s="2" t="str">
        <x:v>Not Run</x:v>
      </x:c>
      <x:c r="M97" s="2" t="str"/>
      <x:c r="N97" s="2" t="str"/>
      <x:c r="O97" s="2" t="str"/>
      <x:c r="P97" s="2" t="str"/>
      <x:c r="Q97" s="2" t="str"/>
      <x:c r="R97" s="2" t="str"/>
    </x:row>
    <x:row r="98" ht="90" customHeight="1">
      <x:c r="A98" s="2" t="str">
        <x:v>INVSTK-003</x:v>
      </x:c>
      <x:c r="B98" s="2" t="str">
        <x:v>Gudang &amp; Pembelian</x:v>
      </x:c>
      <x:c r="C98" s="2" t="str">
        <x:v>Pembelian</x:v>
      </x:c>
      <x:c r="D98" s="2" t="str">
        <x:v>P1</x:v>
      </x:c>
      <x:c r="E98" s="2" t="str">
        <x:v>E2E</x:v>
      </x:c>
      <x:c r="F98" s="2" t="str">
        <x:v>OWNER/OPERASIONAL/FINANCE</x:v>
      </x:c>
      <x:c r="G98" s="2" t="str">
        <x:v>Buat pembelian dan terima stok.</x:v>
      </x:c>
      <x:c r="H98" s="2" t="str">
        <x:v>Supplier dan item gudang tersedia.</x:v>
      </x:c>
      <x:c r="I98" s="2" t="str">
        <x:v>1. Buka Pembelian
2. Buat PO/pembelian
3. Tambah item
4. Receive stok
5. Simpan</x:v>
      </x:c>
      <x:c r="J98" s="2" t="str">
        <x:v>Purchase status dan stock movement benar; stock recap bertambah.</x:v>
      </x:c>
      <x:c r="K98" s="2" t="str"/>
      <x:c r="L98" s="2" t="str">
        <x:v>Not Run</x:v>
      </x:c>
      <x:c r="M98" s="2" t="str"/>
      <x:c r="N98" s="2" t="str"/>
      <x:c r="O98" s="2" t="str"/>
      <x:c r="P98" s="2" t="str"/>
      <x:c r="Q98" s="2" t="str"/>
      <x:c r="R98" s="2" t="str"/>
    </x:row>
    <x:row r="99" ht="90" customHeight="1">
      <x:c r="A99" s="2" t="str">
        <x:v>INVSTK-004</x:v>
      </x:c>
      <x:c r="B99" s="2" t="str">
        <x:v>Gudang &amp; Pembelian</x:v>
      </x:c>
      <x:c r="C99" s="2" t="str">
        <x:v>Purchase Payment</x:v>
      </x:c>
      <x:c r="D99" s="2" t="str">
        <x:v>P1</x:v>
      </x:c>
      <x:c r="E99" s="2" t="str">
        <x:v>E2E</x:v>
      </x:c>
      <x:c r="F99" s="2" t="str">
        <x:v>FINANCE/OWNER</x:v>
      </x:c>
      <x:c r="G99" s="2" t="str">
        <x:v>Pembayaran pembelian mempengaruhi kas/bank bila diposting.</x:v>
      </x:c>
      <x:c r="H99" s="2" t="str">
        <x:v>Purchase payable/paid flow tersedia.</x:v>
      </x:c>
      <x:c r="I99" s="2" t="str">
        <x:v>1. Buka detail pembelian
2. Catat pembayaran
3. Pilih rekening
4. Simpan</x:v>
      </x:c>
      <x:c r="J99" s="2" t="str">
        <x:v>Status bayar dan bankTransaction/expense sesuai desain pembelian.</x:v>
      </x:c>
      <x:c r="K99" s="2" t="str"/>
      <x:c r="L99" s="2" t="str">
        <x:v>Not Run</x:v>
      </x:c>
      <x:c r="M99" s="2" t="str"/>
      <x:c r="N99" s="2" t="str"/>
      <x:c r="O99" s="2" t="str"/>
      <x:c r="P99" s="2" t="str"/>
      <x:c r="Q99" s="2" t="str"/>
      <x:c r="R99" s="2" t="str"/>
    </x:row>
    <x:row r="100" ht="90" customHeight="1">
      <x:c r="A100" s="2" t="str">
        <x:v>INVSTK-005</x:v>
      </x:c>
      <x:c r="B100" s="2" t="str">
        <x:v>Gudang &amp; Pembelian</x:v>
      </x:c>
      <x:c r="C100" s="2" t="str">
        <x:v>Stock Recap</x:v>
      </x:c>
      <x:c r="D100" s="2" t="str">
        <x:v>P1</x:v>
      </x:c>
      <x:c r="E100" s="2" t="str">
        <x:v>Regression</x:v>
      </x:c>
      <x:c r="F100" s="2" t="str">
        <x:v>OWNER/OPERASIONAL/FINANCE</x:v>
      </x:c>
      <x:c r="G100" s="2" t="str">
        <x:v>Laporan stok sesuai movement.</x:v>
      </x:c>
      <x:c r="H100" s="2" t="str">
        <x:v>Ada pembelian dan material usage.</x:v>
      </x:c>
      <x:c r="I100" s="2" t="str">
        <x:v>1. Buka Laporan Stok
2. Filter item/periode</x:v>
      </x:c>
      <x:c r="J100" s="2" t="str">
        <x:v>Saldo awal, masuk, keluar, akhir sesuai movement.</x:v>
      </x:c>
      <x:c r="K100" s="2" t="str"/>
      <x:c r="L100" s="2" t="str">
        <x:v>Not Run</x:v>
      </x:c>
      <x:c r="M100" s="2" t="str"/>
      <x:c r="N100" s="2" t="str"/>
      <x:c r="O100" s="2" t="str"/>
      <x:c r="P100" s="2" t="str"/>
      <x:c r="Q100" s="2" t="str"/>
      <x:c r="R100" s="2" t="str"/>
    </x:row>
    <x:row r="101" ht="90" customHeight="1">
      <x:c r="A101" s="2" t="str">
        <x:v>INVSTK-006</x:v>
      </x:c>
      <x:c r="B101" s="2" t="str">
        <x:v>Gudang &amp; Pembelian</x:v>
      </x:c>
      <x:c r="C101" s="2" t="str">
        <x:v>Material Usage</x:v>
      </x:c>
      <x:c r="D101" s="2" t="str">
        <x:v>P1</x:v>
      </x:c>
      <x:c r="E101" s="2" t="str">
        <x:v>E2E</x:v>
      </x:c>
      <x:c r="F101" s="2" t="str">
        <x:v>ARMADA/OWNER</x:v>
      </x:c>
      <x:c r="G101" s="2" t="str">
        <x:v>Material maintenance mengurangi stok.</x:v>
      </x:c>
      <x:c r="H101" s="2" t="str">
        <x:v>Maintenance menggunakan item gudang.</x:v>
      </x:c>
      <x:c r="I101" s="2" t="str">
        <x:v>1. Buka maintenance
2. Tambah material usage
3. Simpan
4. Cek stock recap</x:v>
      </x:c>
      <x:c r="J101" s="2" t="str">
        <x:v>Stock movement OUT tercatat dan stok berkurang.</x:v>
      </x:c>
      <x:c r="K101" s="2" t="str"/>
      <x:c r="L101" s="2" t="str">
        <x:v>Not Run</x:v>
      </x:c>
      <x:c r="M101" s="2" t="str"/>
      <x:c r="N101" s="2" t="str"/>
      <x:c r="O101" s="2" t="str"/>
      <x:c r="P101" s="2" t="str"/>
      <x:c r="Q101" s="2" t="str"/>
      <x:c r="R101" s="2" t="str"/>
    </x:row>
    <x:row r="102" ht="90" customHeight="1">
      <x:c r="A102" s="2" t="str">
        <x:v>FLT-001</x:v>
      </x:c>
      <x:c r="B102" s="2" t="str">
        <x:v>Armada</x:v>
      </x:c>
      <x:c r="C102" s="2" t="str">
        <x:v>Kendaraan</x:v>
      </x:c>
      <x:c r="D102" s="2" t="str">
        <x:v>P0</x:v>
      </x:c>
      <x:c r="E102" s="2" t="str">
        <x:v>Positive</x:v>
      </x:c>
      <x:c r="F102" s="2" t="str">
        <x:v>ARMADA/OWNER</x:v>
      </x:c>
      <x:c r="G102" s="2" t="str">
        <x:v>CRUD kendaraan.</x:v>
      </x:c>
      <x:c r="H102" s="2" t="str">
        <x:v>Login armada/owner.</x:v>
      </x:c>
      <x:c r="I102" s="2" t="str">
        <x:v>1. Buka Kendaraan
2. Tambah unit
3. Isi plat, kategori, status
4. Simpan</x:v>
      </x:c>
      <x:c r="J102" s="2" t="str">
        <x:v>Kendaraan aktif muncul di DO dan fleet list.</x:v>
      </x:c>
      <x:c r="K102" s="2" t="str"/>
      <x:c r="L102" s="2" t="str">
        <x:v>Not Run</x:v>
      </x:c>
      <x:c r="M102" s="2" t="str"/>
      <x:c r="N102" s="2" t="str"/>
      <x:c r="O102" s="2" t="str"/>
      <x:c r="P102" s="2" t="str"/>
      <x:c r="Q102" s="2" t="str"/>
      <x:c r="R102" s="2" t="str"/>
    </x:row>
    <x:row r="103" ht="90" customHeight="1">
      <x:c r="A103" s="2" t="str">
        <x:v>FLT-002</x:v>
      </x:c>
      <x:c r="B103" s="2" t="str">
        <x:v>Armada</x:v>
      </x:c>
      <x:c r="C103" s="2" t="str">
        <x:v>Vehicle Detail</x:v>
      </x:c>
      <x:c r="D103" s="2" t="str">
        <x:v>P1</x:v>
      </x:c>
      <x:c r="E103" s="2" t="str">
        <x:v>Positive</x:v>
      </x:c>
      <x:c r="F103" s="2" t="str">
        <x:v>ARMADA/OWNER</x:v>
      </x:c>
      <x:c r="G103" s="2" t="str">
        <x:v>Detail kendaraan menampilkan service/ban/riwayat.</x:v>
      </x:c>
      <x:c r="H103" s="2" t="str">
        <x:v>Kendaraan tersedia.</x:v>
      </x:c>
      <x:c r="I103" s="2" t="str">
        <x:v>1. Buka detail kendaraan
2. Cek informasi, ban, maintenance, dokumen</x:v>
      </x:c>
      <x:c r="J103" s="2" t="str">
        <x:v>Data detail konsisten; field sensitif hanya untuk role berhak.</x:v>
      </x:c>
      <x:c r="K103" s="2" t="str"/>
      <x:c r="L103" s="2" t="str">
        <x:v>Not Run</x:v>
      </x:c>
      <x:c r="M103" s="2" t="str"/>
      <x:c r="N103" s="2" t="str"/>
      <x:c r="O103" s="2" t="str"/>
      <x:c r="P103" s="2" t="str"/>
      <x:c r="Q103" s="2" t="str"/>
      <x:c r="R103" s="2" t="str"/>
    </x:row>
    <x:row r="104" ht="90" customHeight="1">
      <x:c r="A104" s="2" t="str">
        <x:v>FLT-003</x:v>
      </x:c>
      <x:c r="B104" s="2" t="str">
        <x:v>Armada</x:v>
      </x:c>
      <x:c r="C104" s="2" t="str">
        <x:v>Supir</x:v>
      </x:c>
      <x:c r="D104" s="2" t="str">
        <x:v>P0</x:v>
      </x:c>
      <x:c r="E104" s="2" t="str">
        <x:v>Positive</x:v>
      </x:c>
      <x:c r="F104" s="2" t="str">
        <x:v>ARMADA/OWNER</x:v>
      </x:c>
      <x:c r="G104" s="2" t="str">
        <x:v>CRUD supir.</x:v>
      </x:c>
      <x:c r="H104" s="2" t="str">
        <x:v>Login armada/owner.</x:v>
      </x:c>
      <x:c r="I104" s="2" t="str">
        <x:v>1. Buka Supir
2. Tambah supir
3. Isi kontak/SIM/status
4. Simpan</x:v>
      </x:c>
      <x:c r="J104" s="2" t="str">
        <x:v>Supir aktif bisa dipilih pada DO.</x:v>
      </x:c>
      <x:c r="K104" s="2" t="str"/>
      <x:c r="L104" s="2" t="str">
        <x:v>Not Run</x:v>
      </x:c>
      <x:c r="M104" s="2" t="str"/>
      <x:c r="N104" s="2" t="str"/>
      <x:c r="O104" s="2" t="str"/>
      <x:c r="P104" s="2" t="str"/>
      <x:c r="Q104" s="2" t="str"/>
      <x:c r="R104" s="2" t="str"/>
    </x:row>
    <x:row r="105" ht="90" customHeight="1">
      <x:c r="A105" s="2" t="str">
        <x:v>FLT-004</x:v>
      </x:c>
      <x:c r="B105" s="2" t="str">
        <x:v>Armada</x:v>
      </x:c>
      <x:c r="C105" s="2" t="str">
        <x:v>Akses Mobile Driver</x:v>
      </x:c>
      <x:c r="D105" s="2" t="str">
        <x:v>P0</x:v>
      </x:c>
      <x:c r="E105" s="2" t="str">
        <x:v>E2E</x:v>
      </x:c>
      <x:c r="F105" s="2" t="str">
        <x:v>ARMADA/OWNER</x:v>
      </x:c>
      <x:c r="G105" s="2" t="str">
        <x:v>Buat/ubah akses mobile driver.</x:v>
      </x:c>
      <x:c r="H105" s="2" t="str">
        <x:v>Supir aktif.</x:v>
      </x:c>
      <x:c r="I105" s="2" t="str">
        <x:v>1. Buka detail supir
2. Klik Akses Mobile
3. Isi email/password/status
4. Simpan</x:v>
      </x:c>
      <x:c r="J105" s="2" t="str">
        <x:v>Akun driver aktif, bisa login mobile, satu supir tidak punya akun aktif ganda.</x:v>
      </x:c>
      <x:c r="K105" s="2" t="str"/>
      <x:c r="L105" s="2" t="str">
        <x:v>Not Run</x:v>
      </x:c>
      <x:c r="M105" s="2" t="str"/>
      <x:c r="N105" s="2" t="str"/>
      <x:c r="O105" s="2" t="str"/>
      <x:c r="P105" s="2" t="str"/>
      <x:c r="Q105" s="2" t="str"/>
      <x:c r="R105" s="2" t="str"/>
    </x:row>
    <x:row r="106" ht="90" customHeight="1">
      <x:c r="A106" s="2" t="str">
        <x:v>FLT-005</x:v>
      </x:c>
      <x:c r="B106" s="2" t="str">
        <x:v>Armada</x:v>
      </x:c>
      <x:c r="C106" s="2" t="str">
        <x:v>Deactivate Driver</x:v>
      </x:c>
      <x:c r="D106" s="2" t="str">
        <x:v>P0</x:v>
      </x:c>
      <x:c r="E106" s="2" t="str">
        <x:v>E2E/Negative</x:v>
      </x:c>
      <x:c r="F106" s="2" t="str">
        <x:v>ARMADA/OWNER</x:v>
      </x:c>
      <x:c r="G106" s="2" t="str">
        <x:v>Nonaktifkan supir menghentikan akun/tracking aktif.</x:v>
      </x:c>
      <x:c r="H106" s="2" t="str">
        <x:v>Supir punya akun mobile/tracking aktif.</x:v>
      </x:c>
      <x:c r="I106" s="2" t="str">
        <x:v>1. Nonaktifkan supir
2. Cek akun mobile dan tracking DO</x:v>
      </x:c>
      <x:c r="J106" s="2" t="str">
        <x:v>Akun mobile ikut nonaktif, tracking aktif ditandai STOPPED, lock driver dibersihkan.</x:v>
      </x:c>
      <x:c r="K106" s="2" t="str"/>
      <x:c r="L106" s="2" t="str">
        <x:v>Not Run</x:v>
      </x:c>
      <x:c r="M106" s="2" t="str"/>
      <x:c r="N106" s="2" t="str"/>
      <x:c r="O106" s="2" t="str"/>
      <x:c r="P106" s="2" t="str"/>
      <x:c r="Q106" s="2" t="str"/>
      <x:c r="R106" s="2" t="str"/>
    </x:row>
    <x:row r="107" ht="90" customHeight="1">
      <x:c r="A107" s="2" t="str">
        <x:v>FLT-006</x:v>
      </x:c>
      <x:c r="B107" s="2" t="str">
        <x:v>Armada</x:v>
      </x:c>
      <x:c r="C107" s="2" t="str">
        <x:v>Maintenance</x:v>
      </x:c>
      <x:c r="D107" s="2" t="str">
        <x:v>P1</x:v>
      </x:c>
      <x:c r="E107" s="2" t="str">
        <x:v>Positive</x:v>
      </x:c>
      <x:c r="F107" s="2" t="str">
        <x:v>ARMADA/OWNER</x:v>
      </x:c>
      <x:c r="G107" s="2" t="str">
        <x:v>Buat jadwal dan selesaikan maintenance.</x:v>
      </x:c>
      <x:c r="H107" s="2" t="str">
        <x:v>Kendaraan tersedia.</x:v>
      </x:c>
      <x:c r="I107" s="2" t="str">
        <x:v>1. Buka Maintenance
2. Tambah jadwal
3. Ubah status DONE
4. Isi biaya/material</x:v>
      </x:c>
      <x:c r="J107" s="2" t="str">
        <x:v>Maintenance tersimpan, expense/stock movement sesuai input.</x:v>
      </x:c>
      <x:c r="K107" s="2" t="str"/>
      <x:c r="L107" s="2" t="str">
        <x:v>Not Run</x:v>
      </x:c>
      <x:c r="M107" s="2" t="str"/>
      <x:c r="N107" s="2" t="str"/>
      <x:c r="O107" s="2" t="str"/>
      <x:c r="P107" s="2" t="str"/>
      <x:c r="Q107" s="2" t="str"/>
      <x:c r="R107" s="2" t="str"/>
    </x:row>
    <x:row r="108" ht="90" customHeight="1">
      <x:c r="A108" s="2" t="str">
        <x:v>FLT-007</x:v>
      </x:c>
      <x:c r="B108" s="2" t="str">
        <x:v>Armada</x:v>
      </x:c>
      <x:c r="C108" s="2" t="str">
        <x:v>Ban</x:v>
      </x:c>
      <x:c r="D108" s="2" t="str">
        <x:v>P0</x:v>
      </x:c>
      <x:c r="E108" s="2" t="str">
        <x:v>Positive</x:v>
      </x:c>
      <x:c r="F108" s="2" t="str">
        <x:v>ARMADA/OWNER</x:v>
      </x:c>
      <x:c r="G108" s="2" t="str">
        <x:v>Kelola ban dengan slot valid.</x:v>
      </x:c>
      <x:c r="H108" s="2" t="str">
        <x:v>Kendaraan tersedia.</x:v>
      </x:c>
      <x:c r="I108" s="2" t="str">
        <x:v>1. Buka Ban
2. Tambah ban
3. Pasang ke slot valid
4. Simpan</x:v>
      </x:c>
      <x:c r="J108" s="2" t="str">
        <x:v>Ban IN_USE/SPARE sesuai slot; detail kendaraan menampilkan posisi benar.</x:v>
      </x:c>
      <x:c r="K108" s="2" t="str"/>
      <x:c r="L108" s="2" t="str">
        <x:v>Not Run</x:v>
      </x:c>
      <x:c r="M108" s="2" t="str"/>
      <x:c r="N108" s="2" t="str"/>
      <x:c r="O108" s="2" t="str"/>
      <x:c r="P108" s="2" t="str"/>
      <x:c r="Q108" s="2" t="str"/>
      <x:c r="R108" s="2" t="str"/>
    </x:row>
    <x:row r="109" ht="90" customHeight="1">
      <x:c r="A109" s="2" t="str">
        <x:v>FLT-008</x:v>
      </x:c>
      <x:c r="B109" s="2" t="str">
        <x:v>Armada</x:v>
      </x:c>
      <x:c r="C109" s="2" t="str">
        <x:v>Ban Slot Guard</x:v>
      </x:c>
      <x:c r="D109" s="2" t="str">
        <x:v>P0</x:v>
      </x:c>
      <x:c r="E109" s="2" t="str">
        <x:v>Negative</x:v>
      </x:c>
      <x:c r="F109" s="2" t="str">
        <x:v>ARMADA/OWNER</x:v>
      </x:c>
      <x:c r="G109" s="2" t="str">
        <x:v>Satu slot kendaraan tidak boleh ditempati dua ban aktif.</x:v>
      </x:c>
      <x:c r="H109" s="2" t="str">
        <x:v>Slot sudah terisi.</x:v>
      </x:c>
      <x:c r="I109" s="2" t="str">
        <x:v>1. Pasang ban lain ke slot sama
2. Submit</x:v>
      </x:c>
      <x:c r="J109" s="2" t="str">
        <x:v>Ditolak dengan pesan slot terpakai.</x:v>
      </x:c>
      <x:c r="K109" s="2" t="str"/>
      <x:c r="L109" s="2" t="str">
        <x:v>Not Run</x:v>
      </x:c>
      <x:c r="M109" s="2" t="str"/>
      <x:c r="N109" s="2" t="str"/>
      <x:c r="O109" s="2" t="str"/>
      <x:c r="P109" s="2" t="str"/>
      <x:c r="Q109" s="2" t="str"/>
      <x:c r="R109" s="2" t="str"/>
    </x:row>
    <x:row r="110" ht="90" customHeight="1">
      <x:c r="A110" s="2" t="str">
        <x:v>FLT-009</x:v>
      </x:c>
      <x:c r="B110" s="2" t="str">
        <x:v>Armada</x:v>
      </x:c>
      <x:c r="C110" s="2" t="str">
        <x:v>Incident Admin</x:v>
      </x:c>
      <x:c r="D110" s="2" t="str">
        <x:v>P0</x:v>
      </x:c>
      <x:c r="E110" s="2" t="str">
        <x:v>E2E</x:v>
      </x:c>
      <x:c r="F110" s="2" t="str">
        <x:v>ARMADA/OWNER</x:v>
      </x:c>
      <x:c r="G110" s="2" t="str">
        <x:v>Admin membuat dan menyelesaikan insiden.</x:v>
      </x:c>
      <x:c r="H110" s="2" t="str">
        <x:v>Kendaraan/driver tersedia.</x:v>
      </x:c>
      <x:c r="I110" s="2" t="str">
        <x:v>1. Buka Insiden
2. Tambah insiden
3. Tambah action/resolution
4. Ubah status</x:v>
      </x:c>
      <x:c r="J110" s="2" t="str">
        <x:v>Incident status dan log action benar; settlement biaya bila ada sesuai flow.</x:v>
      </x:c>
      <x:c r="K110" s="2" t="str"/>
      <x:c r="L110" s="2" t="str">
        <x:v>Not Run</x:v>
      </x:c>
      <x:c r="M110" s="2" t="str"/>
      <x:c r="N110" s="2" t="str"/>
      <x:c r="O110" s="2" t="str"/>
      <x:c r="P110" s="2" t="str"/>
      <x:c r="Q110" s="2" t="str"/>
      <x:c r="R110" s="2" t="str"/>
    </x:row>
    <x:row r="111" ht="90" customHeight="1">
      <x:c r="A111" s="2" t="str">
        <x:v>FLT-010</x:v>
      </x:c>
      <x:c r="B111" s="2" t="str">
        <x:v>Armada</x:v>
      </x:c>
      <x:c r="C111" s="2" t="str">
        <x:v>Driver Score</x:v>
      </x:c>
      <x:c r="D111" s="2" t="str">
        <x:v>P1</x:v>
      </x:c>
      <x:c r="E111" s="2" t="str">
        <x:v>Positive</x:v>
      </x:c>
      <x:c r="F111" s="2" t="str">
        <x:v>ARMADA/OWNER/OPERASIONAL</x:v>
      </x:c>
      <x:c r="G111" s="2" t="str">
        <x:v>Skor/sanksi supir tercatat.</x:v>
      </x:c>
      <x:c r="H111" s="2" t="str">
        <x:v>Supir tersedia.</x:v>
      </x:c>
      <x:c r="I111" s="2" t="str">
        <x:v>1. Buka Supir/Skors
2. Tambah skor/sanksi
3. Acknowledge bila perlu</x:v>
      </x:c>
      <x:c r="J111" s="2" t="str">
        <x:v>Skor tersimpan dan muncul di detail supir.</x:v>
      </x:c>
      <x:c r="K111" s="2" t="str"/>
      <x:c r="L111" s="2" t="str">
        <x:v>Not Run</x:v>
      </x:c>
      <x:c r="M111" s="2" t="str"/>
      <x:c r="N111" s="2" t="str"/>
      <x:c r="O111" s="2" t="str"/>
      <x:c r="P111" s="2" t="str"/>
      <x:c r="Q111" s="2" t="str"/>
      <x:c r="R111" s="2" t="str"/>
    </x:row>
    <x:row r="112" ht="90" customHeight="1">
      <x:c r="A112" s="2" t="str">
        <x:v>HR-001</x:v>
      </x:c>
      <x:c r="B112" s="2" t="str">
        <x:v>SDM</x:v>
      </x:c>
      <x:c r="C112" s="2" t="str">
        <x:v>Karyawan</x:v>
      </x:c>
      <x:c r="D112" s="2" t="str">
        <x:v>P2</x:v>
      </x:c>
      <x:c r="E112" s="2" t="str">
        <x:v>Positive</x:v>
      </x:c>
      <x:c r="F112" s="2" t="str">
        <x:v>OWNER/OPERASIONAL</x:v>
      </x:c>
      <x:c r="G112" s="2" t="str">
        <x:v>CRUD karyawan.</x:v>
      </x:c>
      <x:c r="H112" s="2" t="str">
        <x:v>Login role berhak.</x:v>
      </x:c>
      <x:c r="I112" s="2" t="str">
        <x:v>1. Buka Karyawan
2. Tambah data
3. Edit status
4. Simpan</x:v>
      </x:c>
      <x:c r="J112" s="2" t="str">
        <x:v>Karyawan tersimpan dan bisa dipakai absensi.</x:v>
      </x:c>
      <x:c r="K112" s="2" t="str"/>
      <x:c r="L112" s="2" t="str">
        <x:v>Not Run</x:v>
      </x:c>
      <x:c r="M112" s="2" t="str"/>
      <x:c r="N112" s="2" t="str"/>
      <x:c r="O112" s="2" t="str"/>
      <x:c r="P112" s="2" t="str"/>
      <x:c r="Q112" s="2" t="str"/>
      <x:c r="R112" s="2" t="str"/>
    </x:row>
    <x:row r="113" ht="90" customHeight="1">
      <x:c r="A113" s="2" t="str">
        <x:v>HR-002</x:v>
      </x:c>
      <x:c r="B113" s="2" t="str">
        <x:v>SDM</x:v>
      </x:c>
      <x:c r="C113" s="2" t="str">
        <x:v>Absensi</x:v>
      </x:c>
      <x:c r="D113" s="2" t="str">
        <x:v>P2</x:v>
      </x:c>
      <x:c r="E113" s="2" t="str">
        <x:v>Positive</x:v>
      </x:c>
      <x:c r="F113" s="2" t="str">
        <x:v>OWNER/OPERASIONAL</x:v>
      </x:c>
      <x:c r="G113" s="2" t="str">
        <x:v>Catat absensi karyawan.</x:v>
      </x:c>
      <x:c r="H113" s="2" t="str">
        <x:v>Karyawan aktif.</x:v>
      </x:c>
      <x:c r="I113" s="2" t="str">
        <x:v>1. Buka Absensi
2. Pilih tanggal
3. Set hadir/izin/sakit/alpa
4. Simpan</x:v>
      </x:c>
      <x:c r="J113" s="2" t="str">
        <x:v>Absensi tersimpan dan filter/export benar.</x:v>
      </x:c>
      <x:c r="K113" s="2" t="str"/>
      <x:c r="L113" s="2" t="str">
        <x:v>Not Run</x:v>
      </x:c>
      <x:c r="M113" s="2" t="str"/>
      <x:c r="N113" s="2" t="str"/>
      <x:c r="O113" s="2" t="str"/>
      <x:c r="P113" s="2" t="str"/>
      <x:c r="Q113" s="2" t="str"/>
      <x:c r="R113" s="2" t="str"/>
    </x:row>
    <x:row r="114" ht="90" customHeight="1">
      <x:c r="A114" s="2" t="str">
        <x:v>SET-001</x:v>
      </x:c>
      <x:c r="B114" s="2" t="str">
        <x:v>Pengaturan</x:v>
      </x:c>
      <x:c r="C114" s="2" t="str">
        <x:v>Company</x:v>
      </x:c>
      <x:c r="D114" s="2" t="str">
        <x:v>P1</x:v>
      </x:c>
      <x:c r="E114" s="2" t="str">
        <x:v>Positive</x:v>
      </x:c>
      <x:c r="F114" s="2" t="str">
        <x:v>OWNER</x:v>
      </x:c>
      <x:c r="G114" s="2" t="str">
        <x:v>Ubah profil perusahaan dan dokumen.</x:v>
      </x:c>
      <x:c r="H114" s="2" t="str">
        <x:v>Login owner.</x:v>
      </x:c>
      <x:c r="I114" s="2" t="str">
        <x:v>1. Buka Perusahaan &amp; Dokumen
2. Ubah nama/logo/alamat/theme
3. Simpan
4. Print dokumen</x:v>
      </x:c>
      <x:c r="J114" s="2" t="str">
        <x:v>Profil tersimpan dan dipakai pada header dokumen/tema.</x:v>
      </x:c>
      <x:c r="K114" s="2" t="str"/>
      <x:c r="L114" s="2" t="str">
        <x:v>Not Run</x:v>
      </x:c>
      <x:c r="M114" s="2" t="str"/>
      <x:c r="N114" s="2" t="str"/>
      <x:c r="O114" s="2" t="str"/>
      <x:c r="P114" s="2" t="str"/>
      <x:c r="Q114" s="2" t="str"/>
      <x:c r="R114" s="2" t="str"/>
    </x:row>
    <x:row r="115" ht="90" customHeight="1">
      <x:c r="A115" s="2" t="str">
        <x:v>SET-002</x:v>
      </x:c>
      <x:c r="B115" s="2" t="str">
        <x:v>Pengaturan</x:v>
      </x:c>
      <x:c r="C115" s="2" t="str">
        <x:v>User Management</x:v>
      </x:c>
      <x:c r="D115" s="2" t="str">
        <x:v>P0</x:v>
      </x:c>
      <x:c r="E115" s="2" t="str">
        <x:v>RBAC</x:v>
      </x:c>
      <x:c r="F115" s="2" t="str">
        <x:v>OWNER</x:v>
      </x:c>
      <x:c r="G115" s="2" t="str">
        <x:v>Buat user internal dengan role.</x:v>
      </x:c>
      <x:c r="H115" s="2" t="str">
        <x:v>Login owner.</x:v>
      </x:c>
      <x:c r="I115" s="2" t="str">
        <x:v>1. Buka Pengguna Internal
2. Tambah user role finance/armada
3. Login user baru</x:v>
      </x:c>
      <x:c r="J115" s="2" t="str">
        <x:v>User bisa login dan menu sesuai role.</x:v>
      </x:c>
      <x:c r="K115" s="2" t="str"/>
      <x:c r="L115" s="2" t="str">
        <x:v>Not Run</x:v>
      </x:c>
      <x:c r="M115" s="2" t="str"/>
      <x:c r="N115" s="2" t="str"/>
      <x:c r="O115" s="2" t="str"/>
      <x:c r="P115" s="2" t="str"/>
      <x:c r="Q115" s="2" t="str"/>
      <x:c r="R115" s="2" t="str"/>
    </x:row>
    <x:row r="116" ht="90" customHeight="1">
      <x:c r="A116" s="2" t="str">
        <x:v>SET-003</x:v>
      </x:c>
      <x:c r="B116" s="2" t="str">
        <x:v>Pengaturan</x:v>
      </x:c>
      <x:c r="C116" s="2" t="str">
        <x:v>Audit Logs</x:v>
      </x:c>
      <x:c r="D116" s="2" t="str">
        <x:v>P0</x:v>
      </x:c>
      <x:c r="E116" s="2" t="str">
        <x:v>Regression</x:v>
      </x:c>
      <x:c r="F116" s="2" t="str">
        <x:v>OWNER</x:v>
      </x:c>
      <x:c r="G116" s="2" t="str">
        <x:v>Audit log tercatat untuk mutasi penting.</x:v>
      </x:c>
      <x:c r="H116" s="2" t="str">
        <x:v>Lakukan create/update/delete di beberapa modul.</x:v>
      </x:c>
      <x:c r="I116" s="2" t="str">
        <x:v>1. Buka Audit Aktivitas
2. Filter entity/user/tanggal</x:v>
      </x:c>
      <x:c r="J116" s="2" t="str">
        <x:v>Log menampilkan actor, action, entity, summary, timestamp Asia/Jakarta konsisten.</x:v>
      </x:c>
      <x:c r="K116" s="2" t="str"/>
      <x:c r="L116" s="2" t="str">
        <x:v>Not Run</x:v>
      </x:c>
      <x:c r="M116" s="2" t="str"/>
      <x:c r="N116" s="2" t="str"/>
      <x:c r="O116" s="2" t="str"/>
      <x:c r="P116" s="2" t="str"/>
      <x:c r="Q116" s="2" t="str"/>
      <x:c r="R116" s="2" t="str"/>
    </x:row>
    <x:row r="117" ht="90" customHeight="1">
      <x:c r="A117" s="2" t="str">
        <x:v>SET-004</x:v>
      </x:c>
      <x:c r="B117" s="2" t="str">
        <x:v>Pengaturan</x:v>
      </x:c>
      <x:c r="C117" s="2" t="str">
        <x:v>Password Hash</x:v>
      </x:c>
      <x:c r="D117" s="2" t="str">
        <x:v>P0</x:v>
      </x:c>
      <x:c r="E117" s="2" t="str">
        <x:v>Security</x:v>
      </x:c>
      <x:c r="F117" s="2" t="str">
        <x:v>OWNER</x:v>
      </x:c>
      <x:c r="G117" s="2" t="str">
        <x:v>Password user tidak tersimpan plaintext.</x:v>
      </x:c>
      <x:c r="H117" s="2" t="str">
        <x:v>Ada user internal/driver.</x:v>
      </x:c>
      <x:c r="I117" s="2" t="str">
        <x:v>1. Buat/ganti password user
2. Jalankan audit password hash atau cek data melalui admin yang tersedia</x:v>
      </x:c>
      <x:c r="J117" s="2" t="str">
        <x:v>Tidak ada password plaintext; login tetap valid.</x:v>
      </x:c>
      <x:c r="K117" s="2" t="str"/>
      <x:c r="L117" s="2" t="str">
        <x:v>Not Run</x:v>
      </x:c>
      <x:c r="M117" s="2" t="str"/>
      <x:c r="N117" s="2" t="str"/>
      <x:c r="O117" s="2" t="str"/>
      <x:c r="P117" s="2" t="str"/>
      <x:c r="Q117" s="2" t="str"/>
      <x:c r="R117" s="2" t="str"/>
    </x:row>
    <x:row r="118" ht="90" customHeight="1">
      <x:c r="A118" s="2" t="str">
        <x:v>NF-001</x:v>
      </x:c>
      <x:c r="B118" s="2" t="str">
        <x:v>Non-Functional</x:v>
      </x:c>
      <x:c r="C118" s="2" t="str">
        <x:v>Responsive Admin</x:v>
      </x:c>
      <x:c r="D118" s="2" t="str">
        <x:v>P1</x:v>
      </x:c>
      <x:c r="E118" s="2" t="str">
        <x:v>UI</x:v>
      </x:c>
      <x:c r="F118" s="2" t="str">
        <x:v>Semua internal</x:v>
      </x:c>
      <x:c r="G118" s="2" t="str">
        <x:v>Halaman utama rapi di desktop/tablet/mobile.</x:v>
      </x:c>
      <x:c r="H118" s="2" t="str">
        <x:v>Browser desktop dan viewport mobile.</x:v>
      </x:c>
      <x:c r="I118" s="2" t="str">
        <x:v>1. Buka dashboard/order/DO/invoice/detail
2. Ubah viewport 360, 768, 1440
3. Cek overlap/scroll</x:v>
      </x:c>
      <x:c r="J118" s="2" t="str">
        <x:v>Tidak ada teks overlap, tombol bisa diklik, tabel/form tetap usable.</x:v>
      </x:c>
      <x:c r="K118" s="2" t="str"/>
      <x:c r="L118" s="2" t="str">
        <x:v>Not Run</x:v>
      </x:c>
      <x:c r="M118" s="2" t="str"/>
      <x:c r="N118" s="2" t="str"/>
      <x:c r="O118" s="2" t="str"/>
      <x:c r="P118" s="2" t="str"/>
      <x:c r="Q118" s="2" t="str"/>
      <x:c r="R118" s="2" t="str"/>
    </x:row>
    <x:row r="119" ht="90" customHeight="1">
      <x:c r="A119" s="2" t="str">
        <x:v>NF-002</x:v>
      </x:c>
      <x:c r="B119" s="2" t="str">
        <x:v>Non-Functional</x:v>
      </x:c>
      <x:c r="C119" s="2" t="str">
        <x:v>Mobile Driver UI</x:v>
      </x:c>
      <x:c r="D119" s="2" t="str">
        <x:v>P0</x:v>
      </x:c>
      <x:c r="E119" s="2" t="str">
        <x:v>UI</x:v>
      </x:c>
      <x:c r="F119" s="2" t="str">
        <x:v>DRIVER</x:v>
      </x:c>
      <x:c r="G119" s="2" t="str">
        <x:v>Mobile driver usable di layar kecil dan keyboard.</x:v>
      </x:c>
      <x:c r="H119" s="2" t="str">
        <x:v>App/portal driver.</x:v>
      </x:c>
      <x:c r="I119" s="2" t="str">
        <x:v>1. Buka login/list/manifest/completion/incident
2. Ketik input panjang dan angka
3. Buka keyboard</x:v>
      </x:c>
      <x:c r="J119" s="2" t="str">
        <x:v>Tidak ada halaman hilang, input stabil, CTA terlihat.</x:v>
      </x:c>
      <x:c r="K119" s="2" t="str"/>
      <x:c r="L119" s="2" t="str">
        <x:v>Not Run</x:v>
      </x:c>
      <x:c r="M119" s="2" t="str"/>
      <x:c r="N119" s="2" t="str"/>
      <x:c r="O119" s="2" t="str"/>
      <x:c r="P119" s="2" t="str"/>
      <x:c r="Q119" s="2" t="str"/>
      <x:c r="R119" s="2" t="str"/>
    </x:row>
    <x:row r="120" ht="90" customHeight="1">
      <x:c r="A120" s="2" t="str">
        <x:v>NF-003</x:v>
      </x:c>
      <x:c r="B120" s="2" t="str">
        <x:v>Non-Functional</x:v>
      </x:c>
      <x:c r="C120" s="2" t="str">
        <x:v>Timezone</x:v>
      </x:c>
      <x:c r="D120" s="2" t="str">
        <x:v>P0</x:v>
      </x:c>
      <x:c r="E120" s="2" t="str">
        <x:v>Regression</x:v>
      </x:c>
      <x:c r="F120" s="2" t="str">
        <x:v>Semua</x:v>
      </x:c>
      <x:c r="G120" s="2" t="str">
        <x:v>Tanggal/waktu memakai Asia/Jakarta secara konsisten.</x:v>
      </x:c>
      <x:c r="H120" s="2" t="str">
        <x:v>Data transaksi dibuat hari ini.</x:v>
      </x:c>
      <x:c r="I120" s="2" t="str">
        <x:v>1. Buat DO/nota/payment/incident
2. Cek timestamp admin/mobile/audit/log</x:v>
      </x:c>
      <x:c r="J120" s="2" t="str">
        <x:v>Tanggal tidak maju/mundur karena UTC; label sesuai Asia/Jakarta.</x:v>
      </x:c>
      <x:c r="K120" s="2" t="str"/>
      <x:c r="L120" s="2" t="str">
        <x:v>Not Run</x:v>
      </x:c>
      <x:c r="M120" s="2" t="str"/>
      <x:c r="N120" s="2" t="str"/>
      <x:c r="O120" s="2" t="str"/>
      <x:c r="P120" s="2" t="str"/>
      <x:c r="Q120" s="2" t="str"/>
      <x:c r="R120" s="2" t="str"/>
    </x:row>
    <x:row r="121" ht="90" customHeight="1">
      <x:c r="A121" s="2" t="str">
        <x:v>NF-004</x:v>
      </x:c>
      <x:c r="B121" s="2" t="str">
        <x:v>Non-Functional</x:v>
      </x:c>
      <x:c r="C121" s="2" t="str">
        <x:v>Export/Print</x:v>
      </x:c>
      <x:c r="D121" s="2" t="str">
        <x:v>P1</x:v>
      </x:c>
      <x:c r="E121" s="2" t="str">
        <x:v>Regression</x:v>
      </x:c>
      <x:c r="F121" s="2" t="str">
        <x:v>Semua</x:v>
      </x:c>
      <x:c r="G121" s="2" t="str">
        <x:v>Export/print tidak error.</x:v>
      </x:c>
      <x:c r="H121" s="2" t="str">
        <x:v>Data tersedia di modul.</x:v>
      </x:c>
      <x:c r="I121" s="2" t="str">
        <x:v>1. Coba print DO/SJ/nota
2. Export tabel yang punya export</x:v>
      </x:c>
      <x:c r="J121" s="2" t="str">
        <x:v>File terbentuk, isi sesuai filter, layout dokumen rapi.</x:v>
      </x:c>
      <x:c r="K121" s="2" t="str"/>
      <x:c r="L121" s="2" t="str">
        <x:v>Not Run</x:v>
      </x:c>
      <x:c r="M121" s="2" t="str"/>
      <x:c r="N121" s="2" t="str"/>
      <x:c r="O121" s="2" t="str"/>
      <x:c r="P121" s="2" t="str"/>
      <x:c r="Q121" s="2" t="str"/>
      <x:c r="R121" s="2" t="str"/>
    </x:row>
    <x:row r="122" ht="90" customHeight="1">
      <x:c r="A122" s="2" t="str">
        <x:v>NF-005</x:v>
      </x:c>
      <x:c r="B122" s="2" t="str">
        <x:v>Non-Functional</x:v>
      </x:c>
      <x:c r="C122" s="2" t="str">
        <x:v>Data Integrity</x:v>
      </x:c>
      <x:c r="D122" s="2" t="str">
        <x:v>P0</x:v>
      </x:c>
      <x:c r="E122" s="2" t="str">
        <x:v>Regression</x:v>
      </x:c>
      <x:c r="F122" s="2" t="str">
        <x:v>OWNER</x:v>
      </x:c>
      <x:c r="G122" s="2" t="str">
        <x:v>Tidak ada mismatch DO-SJ-nota-order setelah UAT.</x:v>
      </x:c>
      <x:c r="H122" s="2" t="str">
        <x:v>Selesai menjalankan UAT batch.</x:v>
      </x:c>
      <x:c r="I122" s="2" t="str">
        <x:v>1. Jalankan audit invariant yang tersedia
2. Review hasil</x:v>
      </x:c>
      <x:c r="J122" s="2" t="str">
        <x:v>Audit pass; tidak ada orphan/stale record.</x:v>
      </x:c>
      <x:c r="K122" s="2" t="str"/>
      <x:c r="L122" s="2" t="str">
        <x:v>Not Run</x:v>
      </x:c>
      <x:c r="M122" s="2" t="str"/>
      <x:c r="N122" s="2" t="str"/>
      <x:c r="O122" s="2" t="str"/>
      <x:c r="P122" s="2" t="str"/>
      <x:c r="Q122" s="2" t="str"/>
      <x:c r="R122" s="2" t="str"/>
    </x:row>
  </x:sheetData>
  <x:dataValidations count="2">
    <x:dataValidation type="list" sqref="L2:L122">
      <x:formula1>"Not Run,Pass,Fail,Blocked,N/A"</x:formula1>
    </x:dataValidation>
    <x:dataValidation type="list" sqref="D2:D122">
      <x:formula1>"P0,P1,P2"</x:formula1>
    </x:dataValidation>
  </x:dataValidations>
  <x:pageMargins left="0.7" right="0.7" top="0.75" bottom="0.75" header="0.3" footer="0.3"/>
  <x:tableParts count="1">
    <x:tablePart xmlns:r="http://schemas.openxmlformats.org/officeDocument/2006/relationships" r:id="Re96db382fa8246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460000038146973" hidden="0" customWidth="1"/>
    <x:col min="2" max="2" width="27.59000015258789" hidden="0" customWidth="1"/>
    <x:col min="3" max="3" width="23.549999237060547" hidden="0" customWidth="1"/>
    <x:col min="4" max="4" width="34.31999969482422" hidden="0" customWidth="1"/>
    <x:col min="5" max="5" width="66.62000274658203" hidden="0" customWidth="1"/>
    <x:col min="6" max="6" width="59.88999938964844" hidden="0" customWidth="1"/>
  </x:cols>
  <x:sheetData>
    <x:row r="1" ht="42" customHeight="1">
      <x:c r="A1" s="5" t="str">
        <x:v>Scenario ID</x:v>
      </x:c>
      <x:c r="B1" s="5" t="str">
        <x:v>Nama Skenario</x:v>
      </x:c>
      <x:c r="C1" s="5" t="str">
        <x:v>Owner Modul</x:v>
      </x:c>
      <x:c r="D1" s="5" t="str">
        <x:v>Tujuan</x:v>
      </x:c>
      <x:c r="E1" s="5" t="str">
        <x:v>Alur Ringkas</x:v>
      </x:c>
      <x:c r="F1" s="5" t="str">
        <x:v>Expected End State</x:v>
      </x:c>
    </x:row>
    <x:row r="2" ht="82.5" customHeight="1">
      <x:c r="A2" s="2" t="str">
        <x:v>E2E-001</x:v>
      </x:c>
      <x:c r="B2" s="2" t="str">
        <x:v>Order to Cash Normal</x:v>
      </x:c>
      <x:c r="C2" s="2" t="str">
        <x:v>Operasional + Finance</x:v>
      </x:c>
      <x:c r="D2" s="2" t="str">
        <x:v>Validasi alur bisnis utama dari order sampai uang masuk dan laporan.</x:v>
      </x:c>
      <x:c r="E2" s="2" t="str">
        <x:v>Customer/master data -&gt; Order -&gt; DO/SJ -&gt; Driver tracking -&gt; Admin delivered dengan aktual/drop -&gt; Nota -&gt; Payment -&gt; Laporan.</x:v>
      </x:c>
      <x:c r="F2" s="2" t="str">
        <x:v>Order COMPLETE, DO DELIVERED, Nota PAID/PARTIAL sesuai nominal, bank/kas dan laporan sinkron.</x:v>
      </x:c>
    </x:row>
    <x:row r="3" ht="82.5" customHeight="1">
      <x:c r="A3" s="2" t="str">
        <x:v>E2E-002</x:v>
      </x:c>
      <x:c r="B3" s="2" t="str">
        <x:v>Partial Qty + Hold + DO Lanjutan</x:v>
      </x:c>
      <x:c r="C3" s="2" t="str">
        <x:v>Operasional</x:v>
      </x:c>
      <x:c r="D3" s="2" t="str">
        <x:v>Pastikan partial qty tidak kehilangan sisa barang.</x:v>
      </x:c>
      <x:c r="E3" s="2" t="str">
        <x:v>Order qty besar -&gt; DO sebagian -&gt; sisanya hold -&gt; release hold -&gt; DO berikutnya -&gt; finalisasi.</x:v>
      </x:c>
      <x:c r="F3" s="2" t="str">
        <x:v>Progress item benar: delivered/held/pending tidak negatif dan status order benar.</x:v>
      </x:c>
    </x:row>
    <x:row r="4" ht="82.5" customHeight="1">
      <x:c r="A4" s="2" t="str">
        <x:v>E2E-003</x:v>
      </x:c>
      <x:c r="B4" s="2" t="str">
        <x:v>Mobile Driver SJ Correction</x:v>
      </x:c>
      <x:c r="C4" s="2" t="str">
        <x:v>Operasional + Driver</x:v>
      </x:c>
      <x:c r="D4" s="2" t="str">
        <x:v>Validasi driver bisa tambah/edit/hapus SJ sebelum aktual final tanpa merusak admin.</x:v>
      </x:c>
      <x:c r="E4" s="2" t="str">
        <x:v>Lihat sheet 06 Mobile Admin Detail: MOBADM-003 sampai MOBADM-010. Jalankan dari Mobile Kelola SJ &amp; Barang dan Update Status SJ, lalu cek Web Admin /surat-jalan dan /delivery-orders/{id}.</x:v>
      </x:c>
      <x:c r="F4" s="2" t="str">
        <x:v>SJ/barang per card tidak bercampur, status SJ per item tidak reset, master barang/input angka stabil, dan admin membaca data final yang sama.</x:v>
      </x:c>
    </x:row>
    <x:row r="5" ht="82.5" customHeight="1">
      <x:c r="A5" s="2" t="str">
        <x:v>E2E-004</x:v>
      </x:c>
      <x:c r="B5" s="2" t="str">
        <x:v>Driver Completion Approval</x:v>
      </x:c>
      <x:c r="C5" s="2" t="str">
        <x:v>Driver + Admin</x:v>
      </x:c>
      <x:c r="D5" s="2" t="str">
        <x:v>Pastikan final fatal tetap approval admin.</x:v>
      </x:c>
      <x:c r="E5" s="2" t="str">
        <x:v>Lihat sheet 06 Mobile Admin Detail: MOBADM-011 sampai MOBADM-019. Jalankan Mobile Ajukan Selesai/Tutup Trip, lalu approve/reject dari Web Admin /delivery-orders/{id}.</x:v>
      </x:c>
      <x:c r="F5" s="2" t="str">
        <x:v>Aktual barang, titik drop, hold, approval, dan odometer sinkron. DO hanya Delivered/closed setelah admin menyetujui tahap yang benar.</x:v>
      </x:c>
    </x:row>
    <x:row r="6" ht="82.5" customHeight="1">
      <x:c r="A6" s="2" t="str">
        <x:v>E2E-005</x:v>
      </x:c>
      <x:c r="B6" s="2" t="str">
        <x:v>Incident to Settlement</x:v>
      </x:c>
      <x:c r="C6" s="2" t="str">
        <x:v>Driver + Armada + Finance</x:v>
      </x:c>
      <x:c r="D6" s="2" t="str">
        <x:v>Validasi insiden lapangan dan biaya.</x:v>
      </x:c>
      <x:c r="E6" s="2" t="str">
        <x:v>Lihat sheet 06 Mobile Admin Detail: MOBADM-020 sampai MOBADM-026. Jalankan Mobile Lapor Insiden/Ajukan Selesai Insiden, lalu review di Admin /fleet/incidents/{id} dan /driver-vouchers/{id}.</x:v>
      </x:c>
      <x:c r="F6" s="2" t="str">
        <x:v>Insiden aktif mengunci laporan baru, pengajuan selesai terlihat di admin, approval mengubah status mobile, dan biaya tertaut ke uang jalan tanpa dobel.</x:v>
      </x:c>
    </x:row>
    <x:row r="7" ht="82.5" customHeight="1">
      <x:c r="A7" s="2" t="str">
        <x:v>E2E-006</x:v>
      </x:c>
      <x:c r="B7" s="2" t="str">
        <x:v>Uang Jalan Trip Settlement</x:v>
      </x:c>
      <x:c r="C7" s="2" t="str">
        <x:v>Operasional + Finance</x:v>
      </x:c>
      <x:c r="D7" s="2" t="str">
        <x:v>Validasi kas uang jalan dan settlement trip.</x:v>
      </x:c>
      <x:c r="E7" s="2" t="str">
        <x:v>Lihat sheet 06 Mobile Admin Detail: MOBADM-024, MOBADM-025, dan ADM-003. Cek kasus uang jalan sudah terbit dan belum terbit.</x:v>
      </x:c>
      <x:c r="F7" s="2" t="str">
        <x:v>Biaya insiden/biaya trip tertaut ke uang jalan yang benar dan tetap masuk saat voucher baru diterbitkan setelah approval insiden.</x:v>
      </x:c>
    </x:row>
    <x:row r="8" ht="82.5" customHeight="1">
      <x:c r="A8" s="2" t="str">
        <x:v>E2E-007</x:v>
      </x:c>
      <x:c r="B8" s="2" t="str">
        <x:v>Borongan Legacy Eligible</x:v>
      </x:c>
      <x:c r="C8" s="2" t="str">
        <x:v>Owner</x:v>
      </x:c>
      <x:c r="D8" s="2" t="str">
        <x:v>Validasi slip borongan hanya untuk DO eligible.</x:v>
      </x:c>
      <x:c r="E8" s="2" t="str">
        <x:v>DO delivered eligible tanpa voucher -&gt; buat borongan -&gt; bayar -&gt; laporan expense.</x:v>
      </x:c>
      <x:c r="F8" s="2" t="str">
        <x:v>Borongan PAID, expense tercatat, DO dengan voucher ditolak.</x:v>
      </x:c>
    </x:row>
    <x:row r="9" ht="82.5" customHeight="1">
      <x:c r="A9" s="2" t="str">
        <x:v>E2E-008</x:v>
      </x:c>
      <x:c r="B9" s="2" t="str">
        <x:v>Inventory to Maintenance</x:v>
      </x:c>
      <x:c r="C9" s="2" t="str">
        <x:v>Gudang + Armada</x:v>
      </x:c>
      <x:c r="D9" s="2" t="str">
        <x:v>Validasi stok sparepart dipakai maintenance.</x:v>
      </x:c>
      <x:c r="E9" s="2" t="str">
        <x:v>Supplier -&gt; item gudang -&gt; pembelian/receive -&gt; maintenance pakai material -&gt; stock recap.</x:v>
      </x:c>
      <x:c r="F9" s="2" t="str">
        <x:v>Stock masuk/keluar benar dan biaya maintenance tercatat.</x:v>
      </x:c>
    </x:row>
    <x:row r="10" ht="82.5" customHeight="1">
      <x:c r="A10" s="2" t="str">
        <x:v>E2E-009</x:v>
      </x:c>
      <x:c r="B10" s="2" t="str">
        <x:v>RBAC Cross Role</x:v>
      </x:c>
      <x:c r="C10" s="2" t="str">
        <x:v>Owner</x:v>
      </x:c>
      <x:c r="D10" s="2" t="str">
        <x:v>Pastikan role tidak bocor akses.</x:v>
      </x:c>
      <x:c r="E10" s="2" t="str">
        <x:v>Login owner/admin/finance/armada/driver -&gt; buka menu/action kritikal masing-masing.</x:v>
      </x:c>
      <x:c r="F10" s="2" t="str">
        <x:v>Setiap role hanya bisa melihat/mutasi sesuai matrix.</x:v>
      </x:c>
    </x:row>
    <x:row r="11" ht="82.5" customHeight="1">
      <x:c r="A11" s="2" t="str">
        <x:v>E2E-010</x:v>
      </x:c>
      <x:c r="B11" s="2" t="str">
        <x:v>Cancellation and Resource Unlock</x:v>
      </x:c>
      <x:c r="C11" s="2" t="str">
        <x:v>Operasional + Driver</x:v>
      </x:c>
      <x:c r="D11" s="2" t="str">
        <x:v>Validasi cancel trip melepas resource dan tracking.</x:v>
      </x:c>
      <x:c r="E11" s="2" t="str">
        <x:v>DO aktif dengan driver/kendaraan/tracking -&gt; cancel oleh admin -&gt; assign driver ke trip baru.</x:v>
      </x:c>
      <x:c r="F11" s="2" t="str">
        <x:v>Tracking STOPPED, lock driver/kendaraan lepas, trip baru bisa dibuat.</x:v>
      </x:c>
    </x:row>
  </x:sheetData>
  <x:pageMargins left="0.7" right="0.7" top="0.75" bottom="0.75" header="0.3" footer="0.3"/>
  <x:tableParts count="1">
    <x:tablePart xmlns:r="http://schemas.openxmlformats.org/officeDocument/2006/relationships" r:id="R0049d7354e354f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479999542236328" hidden="0" customWidth="1"/>
    <x:col min="2" max="2" width="30.280000686645508" hidden="0" customWidth="1"/>
    <x:col min="3" max="3" width="55.849998474121094" hidden="0" customWidth="1"/>
    <x:col min="4" max="4" width="55.849998474121094" hidden="0" customWidth="1"/>
  </x:cols>
  <x:sheetData>
    <x:row r="1" ht="36" customHeight="1">
      <x:c r="A1" s="5" t="str">
        <x:v>Role</x:v>
      </x:c>
      <x:c r="B1" s="5" t="str">
        <x:v>Akun Demo</x:v>
      </x:c>
      <x:c r="C1" s="5" t="str">
        <x:v>Fokus UAT</x:v>
      </x:c>
      <x:c r="D1" s="5" t="str">
        <x:v>Catatan Akses</x:v>
      </x:c>
    </x:row>
    <x:row r="2" ht="54" customHeight="1">
      <x:c r="A2" s="2" t="str">
        <x:v>OWNER</x:v>
      </x:c>
      <x:c r="B2" s="2" t="str">
        <x:v>owner@company.local / owner12345</x:v>
      </x:c>
      <x:c r="C2" s="2" t="str">
        <x:v>Semua modul, approval, laporan, pengaturan, audit.</x:v>
      </x:c>
      <x:c r="D2" s="2" t="str">
        <x:v>Full access. Dipakai untuk sign-off akhir.</x:v>
      </x:c>
    </x:row>
    <x:row r="3" ht="54" customHeight="1">
      <x:c r="A3" s="2" t="str">
        <x:v>OPERASIONAL</x:v>
      </x:c>
      <x:c r="B3" s="2" t="str">
        <x:v>admin@company.local / admin12345</x:v>
      </x:c>
      <x:c r="C3" s="2" t="str">
        <x:v>Order, trip, surat jalan, customer, uang jalan, pengeluaran operasional.</x:v>
      </x:c>
      <x:c r="D3" s="2" t="str">
        <x:v>Tidak semua modul finance/settings boleh diubah.</x:v>
      </x:c>
    </x:row>
    <x:row r="4" ht="54" customHeight="1">
      <x:c r="A4" s="2" t="str">
        <x:v>FINANCE</x:v>
      </x:c>
      <x:c r="B4" s="2" t="str">
        <x:v>finance@company.local / admin12345</x:v>
      </x:c>
      <x:c r="C4" s="2" t="str">
        <x:v>Invoice/nota, pembayaran, rekening, kas, laporan, jurnal.</x:v>
      </x:c>
      <x:c r="D4" s="2" t="str">
        <x:v>Harus dibatasi dari workflow armada tertentu.</x:v>
      </x:c>
    </x:row>
    <x:row r="5" ht="54" customHeight="1">
      <x:c r="A5" s="2" t="str">
        <x:v>ARMADA</x:v>
      </x:c>
      <x:c r="B5" s="2" t="str">
        <x:v>armada@company.local / admin12345</x:v>
      </x:c>
      <x:c r="C5" s="2" t="str">
        <x:v>Kendaraan, supir, ban, maintenance, insiden.</x:v>
      </x:c>
      <x:c r="D5" s="2" t="str">
        <x:v>Tidak boleh membuat tagihan/pembayaran.</x:v>
      </x:c>
    </x:row>
    <x:row r="6" ht="54" customHeight="1">
      <x:c r="A6" s="2" t="str">
        <x:v>DRIVER</x:v>
      </x:c>
      <x:c r="B6" s="2" t="str">
        <x:v>driver.agus@company.local / driver12345</x:v>
      </x:c>
      <x:c r="C6" s="2" t="str">
        <x:v>Mobile app/portal driver: trip, SJ, barang, tracking, approval request, insiden.</x:v>
      </x:c>
      <x:c r="D6" s="2" t="str">
        <x:v>Tidak boleh login ke admin panel.</x:v>
      </x:c>
    </x:row>
  </x:sheetData>
  <x:pageMargins left="0.7" right="0.7" top="0.75" bottom="0.75" header="0.3" footer="0.3"/>
  <x:tableParts count="1">
    <x:tablePart xmlns:r="http://schemas.openxmlformats.org/officeDocument/2006/relationships" r:id="R87d363d211c94a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789999961853027" hidden="0" customWidth="1"/>
    <x:col min="2" max="2" width="14.130000114440918" hidden="0" customWidth="1"/>
    <x:col min="3" max="3" width="15.479999542236328" hidden="0" customWidth="1"/>
    <x:col min="4" max="4" width="20.860000610351562" hidden="0" customWidth="1"/>
    <x:col min="5" max="5" width="12.789999961853027" hidden="0" customWidth="1"/>
    <x:col min="6" max="6" width="15.479999542236328" hidden="0" customWidth="1"/>
    <x:col min="7" max="7" width="11.4399995803833" hidden="0" customWidth="1"/>
    <x:col min="8" max="8" width="34.31999969482422" hidden="0" customWidth="1"/>
    <x:col min="9" max="9" width="47.779998779296875" hidden="0" customWidth="1"/>
    <x:col min="10" max="10" width="34.31999969482422" hidden="0" customWidth="1"/>
    <x:col min="11" max="11" width="34.31999969482422" hidden="0" customWidth="1"/>
    <x:col min="12" max="12" width="23.549999237060547" hidden="0" customWidth="1"/>
    <x:col min="13" max="13" width="15.479999542236328" hidden="0" customWidth="1"/>
    <x:col min="14" max="14" width="18.170000076293945" hidden="0" customWidth="1"/>
    <x:col min="15" max="15" width="15.479999542236328" hidden="0" customWidth="1"/>
    <x:col min="16" max="16" width="23.549999237060547" hidden="0" customWidth="1"/>
  </x:cols>
  <x:sheetData>
    <x:row r="1" ht="42" customHeight="1">
      <x:c r="A1" s="5" t="str">
        <x:v>Bug ID</x:v>
      </x:c>
      <x:c r="B1" s="5" t="str">
        <x:v>Tanggal</x:v>
      </x:c>
      <x:c r="C1" s="5" t="str">
        <x:v>Tester</x:v>
      </x:c>
      <x:c r="D1" s="5" t="str">
        <x:v>Module</x:v>
      </x:c>
      <x:c r="E1" s="5" t="str">
        <x:v>Case ID</x:v>
      </x:c>
      <x:c r="F1" s="5" t="str">
        <x:v>Severity</x:v>
      </x:c>
      <x:c r="G1" s="5" t="str">
        <x:v>Priority</x:v>
      </x:c>
      <x:c r="H1" s="5" t="str">
        <x:v>Summary</x:v>
      </x:c>
      <x:c r="I1" s="5" t="str">
        <x:v>Steps to Reproduce</x:v>
      </x:c>
      <x:c r="J1" s="5" t="str">
        <x:v>Expected</x:v>
      </x:c>
      <x:c r="K1" s="5" t="str">
        <x:v>Actual</x:v>
      </x:c>
      <x:c r="L1" s="5" t="str">
        <x:v>Evidence Link</x:v>
      </x:c>
      <x:c r="M1" s="5" t="str">
        <x:v>Owner</x:v>
      </x:c>
      <x:c r="N1" s="5" t="str">
        <x:v>Status</x:v>
      </x:c>
      <x:c r="O1" s="5" t="str">
        <x:v>Fixed Build</x:v>
      </x:c>
      <x:c r="P1" s="5" t="str">
        <x:v>Retest Result</x:v>
      </x:c>
    </x:row>
    <x:row r="2" ht="71.25" customHeight="1">
      <x:c r="A2" s="2" t="str">
        <x:v>BUG-001</x:v>
      </x:c>
      <x:c r="B2" s="2" t="str"/>
      <x:c r="C2" s="2" t="str"/>
      <x:c r="D2" s="2" t="str"/>
      <x:c r="E2" s="2" t="str"/>
      <x:c r="F2" s="2" t="str">
        <x:v>Critical/High/Medium/Low</x:v>
      </x:c>
      <x:c r="G2" s="2" t="str">
        <x:v>P0/P1/P2</x:v>
      </x:c>
      <x:c r="H2" s="2" t="str"/>
      <x:c r="I2" s="2" t="str"/>
      <x:c r="J2" s="2" t="str"/>
      <x:c r="K2" s="2" t="str"/>
      <x:c r="L2" s="2" t="str"/>
      <x:c r="M2" s="2" t="str"/>
      <x:c r="N2" s="2" t="str">
        <x:v>Open/In Progress/Fixed/Closed/Rejected</x:v>
      </x:c>
      <x:c r="O2" s="2" t="str"/>
      <x:c r="P2" s="2" t="str"/>
    </x:row>
    <x:row r="3" ht="71.25" customHeight="1">
      <x:c r="A3" s="2" t="str">
        <x:v>BUG-002</x:v>
      </x:c>
      <x:c r="B3" s="2" t="str"/>
      <x:c r="C3" s="2" t="str"/>
      <x:c r="D3" s="2" t="str"/>
      <x:c r="E3" s="2" t="str"/>
      <x:c r="F3" s="2" t="str"/>
      <x:c r="G3" s="2" t="str"/>
      <x:c r="H3" s="2" t="str"/>
      <x:c r="I3" s="2" t="str"/>
      <x:c r="J3" s="2" t="str"/>
      <x:c r="K3" s="2" t="str"/>
      <x:c r="L3" s="2" t="str"/>
      <x:c r="M3" s="2" t="str"/>
      <x:c r="N3" s="2" t="str"/>
      <x:c r="O3" s="2" t="str"/>
      <x:c r="P3" s="2" t="str"/>
    </x:row>
    <x:row r="4" ht="71.25" customHeight="1">
      <x:c r="A4" s="2" t="str">
        <x:v>BUG-003</x:v>
      </x:c>
      <x:c r="B4" s="2" t="str"/>
      <x:c r="C4" s="2" t="str"/>
      <x:c r="D4" s="2" t="str"/>
      <x:c r="E4" s="2" t="str"/>
      <x:c r="F4" s="2" t="str"/>
      <x:c r="G4" s="2" t="str"/>
      <x:c r="H4" s="2" t="str"/>
      <x:c r="I4" s="2" t="str"/>
      <x:c r="J4" s="2" t="str"/>
      <x:c r="K4" s="2" t="str"/>
      <x:c r="L4" s="2" t="str"/>
      <x:c r="M4" s="2" t="str"/>
      <x:c r="N4" s="2" t="str"/>
      <x:c r="O4" s="2" t="str"/>
      <x:c r="P4" s="2" t="str"/>
    </x:row>
  </x:sheetData>
  <x:dataValidations count="3">
    <x:dataValidation type="list" sqref="F2:F200">
      <x:formula1>"Critical,High,Medium,Low"</x:formula1>
    </x:dataValidation>
    <x:dataValidation type="list" sqref="G2:G200">
      <x:formula1>"P0,P1,P2"</x:formula1>
    </x:dataValidation>
    <x:dataValidation type="list" sqref="N2:N200">
      <x:formula1>"Open,In Progress,Fixed,Closed,Rejected"</x:formula1>
    </x:dataValidation>
  </x:dataValidations>
  <x:pageMargins left="0.7" right="0.7" top="0.75" bottom="0.75" header="0.3" footer="0.3"/>
  <x:tableParts count="1">
    <x:tablePart xmlns:r="http://schemas.openxmlformats.org/officeDocument/2006/relationships" r:id="Ra1f9e2e083c742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3.549999237060547" hidden="0" customWidth="1"/>
    <x:col min="3" max="3" width="20.860000610351562" hidden="0" customWidth="1"/>
    <x:col min="4" max="4" width="15.479999542236328" hidden="0" customWidth="1"/>
    <x:col min="5" max="5" width="15.479999542236328" hidden="0" customWidth="1"/>
    <x:col min="6" max="6" width="47.779998779296875" hidden="0" customWidth="1"/>
  </x:cols>
  <x:sheetData>
    <x:row r="1" ht="36" customHeight="1">
      <x:c r="A1" s="5" t="str">
        <x:v>Area Sign-off</x:v>
      </x:c>
      <x:c r="B1" s="5" t="str">
        <x:v>Nama</x:v>
      </x:c>
      <x:c r="C1" s="5" t="str">
        <x:v>Role</x:v>
      </x:c>
      <x:c r="D1" s="5" t="str">
        <x:v>Tanggal</x:v>
      </x:c>
      <x:c r="E1" s="5" t="str">
        <x:v>Status</x:v>
      </x:c>
      <x:c r="F1" s="5" t="str">
        <x:v>Catatan</x:v>
      </x:c>
    </x:row>
    <x:row r="2" ht="40.5" customHeight="1">
      <x:c r="A2" s="2" t="str">
        <x:v>Operasional</x:v>
      </x:c>
      <x:c r="B2" s="2" t="str"/>
      <x:c r="C2" s="2" t="str"/>
      <x:c r="D2" s="2" t="str"/>
      <x:c r="E2" s="2" t="str">
        <x:v>Pending</x:v>
      </x:c>
      <x:c r="F2" s="2" t="str"/>
    </x:row>
    <x:row r="3" ht="40.5" customHeight="1">
      <x:c r="A3" s="2" t="str">
        <x:v>Finance</x:v>
      </x:c>
      <x:c r="B3" s="2" t="str"/>
      <x:c r="C3" s="2" t="str"/>
      <x:c r="D3" s="2" t="str"/>
      <x:c r="E3" s="2" t="str">
        <x:v>Pending</x:v>
      </x:c>
      <x:c r="F3" s="2" t="str"/>
    </x:row>
    <x:row r="4" ht="40.5" customHeight="1">
      <x:c r="A4" s="2" t="str">
        <x:v>Armada</x:v>
      </x:c>
      <x:c r="B4" s="2" t="str"/>
      <x:c r="C4" s="2" t="str"/>
      <x:c r="D4" s="2" t="str"/>
      <x:c r="E4" s="2" t="str">
        <x:v>Pending</x:v>
      </x:c>
      <x:c r="F4" s="2" t="str"/>
    </x:row>
    <x:row r="5" ht="40.5" customHeight="1">
      <x:c r="A5" s="2" t="str">
        <x:v>Driver / Lapangan</x:v>
      </x:c>
      <x:c r="B5" s="2" t="str"/>
      <x:c r="C5" s="2" t="str"/>
      <x:c r="D5" s="2" t="str"/>
      <x:c r="E5" s="2" t="str">
        <x:v>Pending</x:v>
      </x:c>
      <x:c r="F5" s="2" t="str"/>
    </x:row>
    <x:row r="6" ht="40.5" customHeight="1">
      <x:c r="A6" s="2" t="str">
        <x:v>Owner / Final</x:v>
      </x:c>
      <x:c r="B6" s="2" t="str"/>
      <x:c r="C6" s="2" t="str"/>
      <x:c r="D6" s="2" t="str"/>
      <x:c r="E6" s="2" t="str">
        <x:v>Pending</x:v>
      </x:c>
      <x:c r="F6" s="2" t="str"/>
    </x:row>
  </x:sheetData>
  <x:dataValidations count="1">
    <x:dataValidation type="list" sqref="E2:E20">
      <x:formula1>"Pending,Approved,Rejected"</x:formula1>
    </x:dataValidation>
  </x:dataValidations>
  <x:pageMargins left="0.7" right="0.7" top="0.75" bottom="0.75" header="0.3" footer="0.3"/>
  <x:tableParts count="1">
    <x:tablePart xmlns:r="http://schemas.openxmlformats.org/officeDocument/2006/relationships" r:id="R74f42c43147d48dc"/>
  </x:tableParts>
</x:worksheet>
</file>

<file path=xl/worksheets/sheet7.xml><?xml version="1.0" encoding="utf-8"?>
<x:worksheet xmlns:x="http://schemas.openxmlformats.org/spreadsheetml/2006/main">
  <x:sheetFormatPr defaultRowHeight="15"/>
  <x:cols>
    <x:col min="1" max="1" width="11.569999694824219" hidden="0" customWidth="1"/>
    <x:col min="2" max="2" width="20.31999969482422" hidden="0" customWidth="1"/>
    <x:col min="3" max="3" width="48.18000030517578" hidden="0" customWidth="1"/>
    <x:col min="4" max="4" width="9.5600004196167" hidden="0" customWidth="1"/>
    <x:col min="5" max="5" width="63.38999938964844" hidden="0" customWidth="1"/>
    <x:col min="6" max="6" width="97.16999816894531" hidden="0" customWidth="1"/>
    <x:col min="7" max="7" width="74.83000183105469" hidden="0" customWidth="1"/>
    <x:col min="8" max="8" width="141.99000549316406" hidden="0" customWidth="1"/>
    <x:col min="9" max="9" width="174.2899932861328" hidden="0" customWidth="1"/>
    <x:col min="10" max="10" width="9.5600004196167" hidden="0" customWidth="1"/>
    <x:col min="11" max="11" width="20.729999542236328" hidden="0" customWidth="1"/>
    <x:col min="12" max="12" width="9.829999923706055" hidden="0" customWidth="1"/>
    <x:col min="13" max="13" width="7.539999961853027" hidden="0" customWidth="1"/>
    <x:col min="14" max="14" width="8.75" hidden="0" customWidth="1"/>
  </x:cols>
  <x:sheetData>
    <x:row r="1" ht="15" hidden="0" customHeight="1">
      <x:c r="A1" t="str">
        <x:v>ID</x:v>
      </x:c>
      <x:c r="B1" t="str">
        <x:v>Modul</x:v>
      </x:c>
      <x:c r="C1" t="str">
        <x:v>Submodul</x:v>
      </x:c>
      <x:c r="D1" t="str">
        <x:v>Prioritas</x:v>
      </x:c>
      <x:c r="E1" t="str">
        <x:v>Login yang Dipakai</x:v>
      </x:c>
      <x:c r="F1" t="str">
        <x:v>Masuk Dari / Menu</x:v>
      </x:c>
      <x:c r="G1" t="str">
        <x:v>Data Uji</x:v>
      </x:c>
      <x:c r="H1" t="str">
        <x:v>Cara Test Detail</x:v>
      </x:c>
      <x:c r="I1" t="str">
        <x:v>Output yang Diharapkan</x:v>
      </x:c>
      <x:c r="J1" t="str">
        <x:v>Hasil</x:v>
      </x:c>
      <x:c r="K1" t="str">
        <x:v>Bug / Ketidaksesuaian</x:v>
      </x:c>
      <x:c r="L1" t="str">
        <x:v>Evidence</x:v>
      </x:c>
      <x:c r="M1" t="str">
        <x:v>Tester</x:v>
      </x:c>
      <x:c r="N1" t="str">
        <x:v>Tanggal</x:v>
      </x:c>
    </x:row>
    <x:row r="2" ht="15" hidden="0" customHeight="1">
      <x:c r="A2" t="str">
        <x:v>MOBADM-001</x:v>
      </x:c>
      <x:c r="B2" t="str">
        <x:v>Akses &amp; Isolasi Data</x:v>
      </x:c>
      <x:c r="C2" t="str">
        <x:v>Login driver hanya melihat trip miliknya</x:v>
      </x:c>
      <x:c r="D2" t="str">
        <x:v>P0</x:v>
      </x:c>
      <x:c r="E2" t="str">
        <x:v>Mobile Driver: driver.eko@company.local / driver12345, lalu driver lain bila ada</x:v>
      </x:c>
      <x:c r="F2" t="str">
        <x:v>APK Mobile -&gt; Login Driver -&gt; Beranda</x:v>
      </x:c>
      <x:c r="G2" t="str">
        <x:v>Minimal 2 driver dan 2 trip berbeda.</x:v>
      </x:c>
      <x:c r="H2" t="str">
        <x:v>Login sebagai Driver A, catat daftar trip. Logout, login Driver B, catat daftar trip. Bandingkan dengan Web Admin /delivery-orders.</x:v>
      </x:c>
      <x:c r="I2" t="str">
        <x:v>Driver hanya melihat trip yang ditugaskan ke dirinya. Trip driver lain tidak muncul, tidak bisa dibuka, dan tidak bisa diupdate lewat API mobile.</x:v>
      </x:c>
      <x:c r="J2" t="str">
        <x:v>Belum Dites</x:v>
      </x:c>
      <x:c r="K2" t="str"/>
      <x:c r="L2" t="str"/>
      <x:c r="M2" t="str"/>
      <x:c r="N2" t="str"/>
    </x:row>
    <x:row r="3" ht="15" hidden="0" customHeight="1">
      <x:c r="A3" t="str">
        <x:v>MOBADM-002</x:v>
      </x:c>
      <x:c r="B3" t="str">
        <x:v>Assign Admin</x:v>
      </x:c>
      <x:c r="C3" t="str">
        <x:v>Driver/truk aktif terkunci sebelum trip selesai</x:v>
      </x:c>
      <x:c r="D3" t="str">
        <x:v>P0</x:v>
      </x:c>
      <x:c r="E3" t="str">
        <x:v>Web Admin OPERASIONAL: admin@company.local / admin12345</x:v>
      </x:c>
      <x:c r="F3" t="str">
        <x:v>Web Admin /login -&gt; Kerja Harian -&gt; Trip / Delivery Order (/delivery-orders) -&gt; Detail trip -&gt; Lengkapi Armada Trip</x:v>
      </x:c>
      <x:c r="G3" t="str">
        <x:v>1 driver, 1 truk, 2 order/trip baru.</x:v>
      </x:c>
      <x:c r="H3" t="str">
        <x:v>Assign driver dan truk ke Trip A yang belum selesai. Buka Trip B dan coba assign driver/truk yang sama. Setelah Trip A selesai/final, ulangi assign ke Trip B.</x:v>
      </x:c>
      <x:c r="I3" t="str">
        <x:v>Saat Trip A belum selesai, driver/truk tidak tersedia atau diberi status sibuk. Setelah Trip A delivered/final/closed, driver dan truk bisa dipakai lagi tanpa data lama ikut berubah.</x:v>
      </x:c>
      <x:c r="J3" t="str">
        <x:v>Belum Dites</x:v>
      </x:c>
      <x:c r="K3" t="str"/>
      <x:c r="L3" t="str"/>
      <x:c r="M3" t="str"/>
      <x:c r="N3" t="str"/>
    </x:row>
    <x:row r="4" ht="15" hidden="0" customHeight="1">
      <x:c r="A4" t="str">
        <x:v>MOBADM-003</x:v>
      </x:c>
      <x:c r="B4" t="str">
        <x:v>Manifest Mobile</x:v>
      </x:c>
      <x:c r="C4" t="str">
        <x:v>Tambah SJ pertama dan barang dari master</x:v>
      </x:c>
      <x:c r="D4" t="str">
        <x:v>P0</x:v>
      </x:c>
      <x:c r="E4" t="str">
        <x:v>Mobile Driver</x:v>
      </x:c>
      <x:c r="F4" t="str">
        <x:v>APK Mobile -&gt; Beranda -&gt; Pilih trip -&gt; Kelola SJ &amp; Barang</x:v>
      </x:c>
      <x:c r="G4" t="str">
        <x:v>Trip baru status Dibuat/Menuju Pickup dengan customer yang punya master barang.</x:v>
      </x:c>
      <x:c r="H4" t="str">
        <x:v>Tekan Kelola SJ &amp; Barang. Isi No SJ pengirim. Tekan Tambah Barang di SJ Ini. Buka dropdown Pilih master barang, cari barang, pilih barang, isi koli/berat/volume sesuai pola admin.</x:v>
      </x:c>
      <x:c r="I4" t="str">
        <x:v>Dropdown tetap terbuka saat keyboard muncul. Setelah pilih master, nama barang/satuan/dimensi dasar terisi sesuai master. Input angka menerima format yang sama seperti admin dan tidak membuat halaman hilang.</x:v>
      </x:c>
      <x:c r="J4" t="str">
        <x:v>Belum Dites</x:v>
      </x:c>
      <x:c r="K4" t="str"/>
      <x:c r="L4" t="str"/>
      <x:c r="M4" t="str"/>
      <x:c r="N4" t="str"/>
    </x:row>
    <x:row r="5" ht="15" hidden="0" customHeight="1">
      <x:c r="A5" t="str">
        <x:v>MOBADM-004</x:v>
      </x:c>
      <x:c r="B5" t="str">
        <x:v>Manifest Mobile</x:v>
      </x:c>
      <x:c r="C5" t="str">
        <x:v>Tambah SJ kedua tidak merusak SJ pertama</x:v>
      </x:c>
      <x:c r="D5" t="str">
        <x:v>P0</x:v>
      </x:c>
      <x:c r="E5" t="str">
        <x:v>Mobile Driver + Web Admin OPERASIONAL</x:v>
      </x:c>
      <x:c r="F5" t="str">
        <x:v>Mobile Kelola SJ &amp; Barang, lalu Web Admin /surat-jalan dan /delivery-orders/{id}</x:v>
      </x:c>
      <x:c r="G5" t="str">
        <x:v>Trip dengan SJ A sudah disimpan dan punya barang.</x:v>
      </x:c>
      <x:c r="H5" t="str">
        <x:v>Di mobile tambah SJ B dan barang baru. Simpan. Refresh mobile dan buka admin Surat Jalan.</x:v>
      </x:c>
      <x:c r="I5" t="str">
        <x:v>SJ A tetap ada dengan barang dan status yang sama. SJ B muncul sebagai SJ baru. Tidak ada barang SJ A berpindah ke SJ B, tidak ada duplikasi, dan total barang admin sama dengan mobile.</x:v>
      </x:c>
      <x:c r="J5" t="str">
        <x:v>Belum Dites</x:v>
      </x:c>
      <x:c r="K5" t="str"/>
      <x:c r="L5" t="str"/>
      <x:c r="M5" t="str"/>
      <x:c r="N5" t="str"/>
    </x:row>
    <x:row r="6" ht="15" hidden="0" customHeight="1">
      <x:c r="A6" t="str">
        <x:v>MOBADM-005</x:v>
      </x:c>
      <x:c r="B6" t="str">
        <x:v>Manifest Mobile</x:v>
      </x:c>
      <x:c r="C6" t="str">
        <x:v>Edit SJ dan edit barang sebelum final</x:v>
      </x:c>
      <x:c r="D6" t="str">
        <x:v>P0</x:v>
      </x:c>
      <x:c r="E6" t="str">
        <x:v>Mobile Driver + Web Admin OPERASIONAL</x:v>
      </x:c>
      <x:c r="F6" t="str">
        <x:v>Mobile Kelola SJ &amp; Barang -&gt; Card per SJ -&gt; edit nomor/barang</x:v>
      </x:c>
      <x:c r="G6" t="str">
        <x:v>Trip belum final, punya minimal 2 SJ dan beberapa barang.</x:v>
      </x:c>
      <x:c r="H6" t="str">
        <x:v>Edit nomor SJ, edit deskripsi barang, koli, berat, volume, satuan, dan catatan. Simpan lalu cek admin /surat-jalan.</x:v>
      </x:c>
      <x:c r="I6" t="str">
        <x:v>Data yang diedit muncul di admin sesuai nilai terakhir. Field yang lock di admin ikut lock di mobile. Field yang boleh beda di admin tetap bisa diedit di mobile sebelum final.</x:v>
      </x:c>
      <x:c r="J6" t="str">
        <x:v>Belum Dites</x:v>
      </x:c>
      <x:c r="K6" t="str"/>
      <x:c r="L6" t="str"/>
      <x:c r="M6" t="str"/>
      <x:c r="N6" t="str"/>
    </x:row>
    <x:row r="7" ht="15" hidden="0" customHeight="1">
      <x:c r="A7" t="str">
        <x:v>MOBADM-006</x:v>
      </x:c>
      <x:c r="B7" t="str">
        <x:v>Manifest Mobile</x:v>
      </x:c>
      <x:c r="C7" t="str">
        <x:v>Hapus SJ dan barang memakai istilah Hapus/Tolak</x:v>
      </x:c>
      <x:c r="D7" t="str">
        <x:v>P0</x:v>
      </x:c>
      <x:c r="E7" t="str">
        <x:v>Mobile Driver</x:v>
      </x:c>
      <x:c r="F7" t="str">
        <x:v>Mobile Kelola SJ &amp; Barang -&gt; tombol Hapus pada card SJ/barang</x:v>
      </x:c>
      <x:c r="G7" t="str">
        <x:v>Trip belum final, punya draft SJ tambahan dan barang tambahan.</x:v>
      </x:c>
      <x:c r="H7" t="str">
        <x:v>Hapus barang draft, hapus SJ draft, lalu hapus SJ/barang yang sudah tersimpan. Cek dialog konfirmasi.</x:v>
      </x:c>
      <x:c r="I7" t="str">
        <x:v>UI memakai istilah Hapus atau Tolak, bukan Void. Ada warning sebelum hapus. Data belum dikirim sebelum Simpan. Setelah Simpan, admin tidak melihat stale item yang harusnya terhapus.</x:v>
      </x:c>
      <x:c r="J7" t="str">
        <x:v>Belum Dites</x:v>
      </x:c>
      <x:c r="K7" t="str"/>
      <x:c r="L7" t="str"/>
      <x:c r="M7" t="str"/>
      <x:c r="N7" t="str"/>
    </x:row>
    <x:row r="8" ht="15" hidden="0" customHeight="1">
      <x:c r="A8" t="str">
        <x:v>MOBADM-007</x:v>
      </x:c>
      <x:c r="B8" t="str">
        <x:v>Status SJ Batch</x:v>
      </x:c>
      <x:c r="C8" t="str">
        <x:v>Update satu SJ tidak mengubah SJ lain</x:v>
      </x:c>
      <x:c r="D8" t="str">
        <x:v>P0</x:v>
      </x:c>
      <x:c r="E8" t="str">
        <x:v>Mobile Driver + Web Admin OPERASIONAL</x:v>
      </x:c>
      <x:c r="F8" t="str">
        <x:v>Mobile -&gt; Trip -&gt; Update Status SJ, Admin -&gt; /surat-jalan atau /delivery-orders/{id}</x:v>
      </x:c>
      <x:c r="G8" t="str">
        <x:v>Trip punya SJ A dan SJ B sama-sama status Dibuat.</x:v>
      </x:c>
      <x:c r="H8" t="str">
        <x:v>Buka Update Status SJ. Pilih status Menuju Pickup. Centang hanya SJ A. Submit. Refresh mobile dan admin.</x:v>
      </x:c>
      <x:c r="I8" t="str">
        <x:v>SJ A berubah ke Menuju Pickup. SJ B tetap Dibuat. Status trip utama hanya mengikuti agregasi progres, bukan mereset semua SJ.</x:v>
      </x:c>
      <x:c r="J8" t="str">
        <x:v>Belum Dites</x:v>
      </x:c>
      <x:c r="K8" t="str"/>
      <x:c r="L8" t="str"/>
      <x:c r="M8" t="str"/>
      <x:c r="N8" t="str"/>
    </x:row>
    <x:row r="9" ht="15" hidden="0" customHeight="1">
      <x:c r="A9" t="str">
        <x:v>MOBADM-008</x:v>
      </x:c>
      <x:c r="B9" t="str">
        <x:v>Status SJ Batch</x:v>
      </x:c>
      <x:c r="C9" t="str">
        <x:v>SJ progressed tidak reset saat tambah SJ baru</x:v>
      </x:c>
      <x:c r="D9" t="str">
        <x:v>P0</x:v>
      </x:c>
      <x:c r="E9" t="str">
        <x:v>Mobile Driver + Web Admin OPERASIONAL</x:v>
      </x:c>
      <x:c r="F9" t="str">
        <x:v>Mobile -&gt; Update Status SJ, lalu Kelola SJ &amp; Barang</x:v>
      </x:c>
      <x:c r="G9" t="str">
        <x:v>Trip punya SJ A.</x:v>
      </x:c>
      <x:c r="H9" t="str">
        <x:v>Update SJ A sampai Arrived atau Dalam Pengiriman. Setelah itu tambah SJ B lewat Kelola SJ &amp; Barang. Simpan dan refresh.</x:v>
      </x:c>
      <x:c r="I9" t="str">
        <x:v>SJ A tetap pada status terakhirnya. SJ B mulai dari Dibuat. Tidak ada status SJ yang balik ke Pickup/Dibuat karena ada SJ baru.</x:v>
      </x:c>
      <x:c r="J9" t="str">
        <x:v>Belum Dites</x:v>
      </x:c>
      <x:c r="K9" t="str"/>
      <x:c r="L9" t="str"/>
      <x:c r="M9" t="str"/>
      <x:c r="N9" t="str"/>
    </x:row>
    <x:row r="10" ht="15" hidden="0" customHeight="1">
      <x:c r="A10" t="str">
        <x:v>MOBADM-009</x:v>
      </x:c>
      <x:c r="B10" t="str">
        <x:v>Status SJ Batch</x:v>
      </x:c>
      <x:c r="C10" t="str">
        <x:v>Pilihan status sama konsep admin operasional</x:v>
      </x:c>
      <x:c r="D10" t="str">
        <x:v>P0</x:v>
      </x:c>
      <x:c r="E10" t="str">
        <x:v>Mobile Driver + Web Admin OPERASIONAL</x:v>
      </x:c>
      <x:c r="F10" t="str">
        <x:v>Admin /delivery-orders/{id} atau /surat-jalan/{id} -&gt; Ubah Status, Mobile -&gt; Update Status SJ</x:v>
      </x:c>
      <x:c r="G10" t="str">
        <x:v>Trip dengan SJ di beberapa status: Dibuat, Menuju Pickup, Pickup, Dalam Pengiriman, Arrived.</x:v>
      </x:c>
      <x:c r="H10" t="str">
        <x:v>Bandingkan pilihan status lanjutan di admin dan di mobile untuk setiap status awal. Coba status yang tidak boleh lompat.</x:v>
      </x:c>
      <x:c r="I10" t="str">
        <x:v>Mobile hanya menawarkan status transisi yang valid seperti admin. Tidak ada pilihan yang membuat workflow loncat approval/final.</x:v>
      </x:c>
      <x:c r="J10" t="str">
        <x:v>Belum Dites</x:v>
      </x:c>
      <x:c r="K10" t="str"/>
      <x:c r="L10" t="str"/>
      <x:c r="M10" t="str"/>
      <x:c r="N10" t="str"/>
    </x:row>
    <x:row r="11" ht="15" hidden="0" customHeight="1">
      <x:c r="A11" t="str">
        <x:v>MOBADM-010</x:v>
      </x:c>
      <x:c r="B11" t="str">
        <x:v>Status SJ Batch</x:v>
      </x:c>
      <x:c r="C11" t="str">
        <x:v>Tidak bisa submit tanpa memilih SJ</x:v>
      </x:c>
      <x:c r="D11" t="str">
        <x:v>P1</x:v>
      </x:c>
      <x:c r="E11" t="str">
        <x:v>Mobile Driver</x:v>
      </x:c>
      <x:c r="F11" t="str">
        <x:v>Mobile -&gt; Update Status SJ</x:v>
      </x:c>
      <x:c r="G11" t="str">
        <x:v>Trip punya minimal 2 SJ yang bisa diupdate.</x:v>
      </x:c>
      <x:c r="H11" t="str">
        <x:v>Buka modal Update Status SJ. Hilangkan semua centang. Coba submit.</x:v>
      </x:c>
      <x:c r="I11" t="str">
        <x:v>Tombol update disabled atau menampilkan warning jelas. Tidak ada request kosong yang mengubah status trip atau SJ.</x:v>
      </x:c>
      <x:c r="J11" t="str">
        <x:v>Belum Dites</x:v>
      </x:c>
      <x:c r="K11" t="str"/>
      <x:c r="L11" t="str"/>
      <x:c r="M11" t="str"/>
      <x:c r="N11" t="str"/>
    </x:row>
    <x:row r="12" ht="15" hidden="0" customHeight="1">
      <x:c r="A12" t="str">
        <x:v>MOBADM-011</x:v>
      </x:c>
      <x:c r="B12" t="str">
        <x:v>Finalisasi Drop</x:v>
      </x:c>
      <x:c r="C12" t="str">
        <x:v>Aktual barang per SJ dan per item</x:v>
      </x:c>
      <x:c r="D12" t="str">
        <x:v>P0</x:v>
      </x:c>
      <x:c r="E12" t="str">
        <x:v>Mobile Driver + Web Admin OPERASIONAL</x:v>
      </x:c>
      <x:c r="F12" t="str">
        <x:v>Mobile -&gt; Ajukan Selesai -&gt; Aktual Barang, Admin -&gt; /delivery-orders/{id} tab aktual</x:v>
      </x:c>
      <x:c r="G12" t="str">
        <x:v>Trip punya 2 SJ dengan barang berbeda.</x:v>
      </x:c>
      <x:c r="H12" t="str">
        <x:v>Ajukan selesai. Isi aktual koli/berat/volume untuk barang SJ A dan SJ B secara terpisah. Simpan, lalu cek admin.</x:v>
      </x:c>
      <x:c r="I12" t="str">
        <x:v>Aktual tiap barang tetap menempel pada SJ yang benar. Tidak ada barang campur antar SJ. Admin menampilkan angka aktual sama dengan mobile.</x:v>
      </x:c>
      <x:c r="J12" t="str">
        <x:v>Belum Dites</x:v>
      </x:c>
      <x:c r="K12" t="str"/>
      <x:c r="L12" t="str"/>
      <x:c r="M12" t="str"/>
      <x:c r="N12" t="str"/>
    </x:row>
    <x:row r="13" ht="15" hidden="0" customHeight="1">
      <x:c r="A13" t="str">
        <x:v>MOBADM-012</x:v>
      </x:c>
      <x:c r="B13" t="str">
        <x:v>Finalisasi Drop</x:v>
      </x:c>
      <x:c r="C13" t="str">
        <x:v>Qty order dan aktual boleh berbeda sesuai admin</x:v>
      </x:c>
      <x:c r="D13" t="str">
        <x:v>P0</x:v>
      </x:c>
      <x:c r="E13" t="str">
        <x:v>Mobile Driver + Web Admin OPERASIONAL</x:v>
      </x:c>
      <x:c r="F13" t="str">
        <x:v>Mobile -&gt; Ajukan Selesai -&gt; Aktual Barang, Admin -&gt; /delivery-orders/{id}</x:v>
      </x:c>
      <x:c r="G13" t="str">
        <x:v>Barang target qty/koli 10 atau berat tertentu.</x:v>
      </x:c>
      <x:c r="H13" t="str">
        <x:v>Isi aktual lebih kecil dari target untuk partial, lalu ajukan. Ulangi dengan aktual berbeda pada berat/volume bila workflow admin memperbolehkan.</x:v>
      </x:c>
      <x:c r="I13" t="str">
        <x:v>Mobile mengikuti aturan admin: qty/koli/berat aktual bisa beda dari order bila admin juga memperbolehkan. Sistem tidak memaksa angka sama kecuali field memang wajib/terkunci.</x:v>
      </x:c>
      <x:c r="J13" t="str">
        <x:v>Belum Dites</x:v>
      </x:c>
      <x:c r="K13" t="str"/>
      <x:c r="L13" t="str"/>
      <x:c r="M13" t="str"/>
      <x:c r="N13" t="str"/>
    </x:row>
    <x:row r="14" ht="15" hidden="0" customHeight="1">
      <x:c r="A14" t="str">
        <x:v>MOBADM-013</x:v>
      </x:c>
      <x:c r="B14" t="str">
        <x:v>Finalisasi Drop</x:v>
      </x:c>
      <x:c r="C14" t="str">
        <x:v>Satu titik drop otomatis untuk semua barang</x:v>
      </x:c>
      <x:c r="D14" t="str">
        <x:v>P0</x:v>
      </x:c>
      <x:c r="E14" t="str">
        <x:v>Mobile Driver + Web Admin OPERASIONAL</x:v>
      </x:c>
      <x:c r="F14" t="str">
        <x:v>Mobile -&gt; Ajukan Selesai -&gt; Titik Drop, Admin -&gt; /delivery-orders/{id} -&gt; Realisasi Drop</x:v>
      </x:c>
      <x:c r="G14" t="str">
        <x:v>Trip semua barang selesai di satu tujuan invoice.</x:v>
      </x:c>
      <x:c r="H14" t="str">
        <x:v>Pada langkah titik drop, gunakan default Tujuan Invoice/Semua manual. Jangan buat split per item. Ajukan lalu cek admin.</x:v>
      </x:c>
      <x:c r="I14" t="str">
        <x:v>Sistem otomatis mengalokasikan semua barang ke satu titik drop. Total aktual drop = total aktual barang. Invoice mengambil barang billable yang benar.</x:v>
      </x:c>
      <x:c r="J14" t="str">
        <x:v>Belum Dites</x:v>
      </x:c>
      <x:c r="K14" t="str"/>
      <x:c r="L14" t="str"/>
      <x:c r="M14" t="str"/>
      <x:c r="N14" t="str"/>
    </x:row>
    <x:row r="15" ht="15" hidden="0" customHeight="1">
      <x:c r="A15" t="str">
        <x:v>MOBADM-014</x:v>
      </x:c>
      <x:c r="B15" t="str">
        <x:v>Finalisasi Drop</x:v>
      </x:c>
      <x:c r="C15" t="str">
        <x:v>Multi drop beda tempat per barang</x:v>
      </x:c>
      <x:c r="D15" t="str">
        <x:v>P0</x:v>
      </x:c>
      <x:c r="E15" t="str">
        <x:v>Mobile Driver + Web Admin OPERASIONAL</x:v>
      </x:c>
      <x:c r="F15" t="str">
        <x:v>Mobile -&gt; Ajukan Selesai -&gt; Tambah Titik Drop, Admin -&gt; /delivery-orders/{id} dan /surat-jalan/{id}</x:v>
      </x:c>
      <x:c r="G15" t="str">
        <x:v>Trip punya minimal 2 barang/SJ dengan tujuan beda.</x:v>
      </x:c>
      <x:c r="H15" t="str">
        <x:v>Buat Drop 1 untuk barang SJ A, Drop 2 untuk barang SJ B. Pilih barang spesifik per titik. Isi lokasi/catatan. Ajukan dan cek admin.</x:v>
      </x:c>
      <x:c r="I15" t="str">
        <x:v>Drop tidak tercampur. Tiap titik menampilkan barang yang dipilih. Jika ada campuran drop dan hold, mobile meminta pilih barang spesifik sebelum finalisasi.</x:v>
      </x:c>
      <x:c r="J15" t="str">
        <x:v>Belum Dites</x:v>
      </x:c>
      <x:c r="K15" t="str"/>
      <x:c r="L15" t="str"/>
      <x:c r="M15" t="str"/>
      <x:c r="N15" t="str"/>
    </x:row>
    <x:row r="16" ht="15" hidden="0" customHeight="1">
      <x:c r="A16" t="str">
        <x:v>MOBADM-015</x:v>
      </x:c>
      <x:c r="B16" t="str">
        <x:v>Hold / Lanjutan</x:v>
      </x:c>
      <x:c r="C16" t="str">
        <x:v>Sebagian barang hold tetap bisa dilanjutkan</x:v>
      </x:c>
      <x:c r="D16" t="str">
        <x:v>P0</x:v>
      </x:c>
      <x:c r="E16" t="str">
        <x:v>Mobile Driver + Web Admin OPERASIONAL</x:v>
      </x:c>
      <x:c r="F16" t="str">
        <x:v>Mobile -&gt; Ajukan Selesai -&gt; Titik Drop tipe Hold / Inap, Admin -&gt; /delivery-orders dan /surat-jalan</x:v>
      </x:c>
      <x:c r="G16" t="str">
        <x:v>Trip punya 2 barang, satu drop dan satu hold.</x:v>
      </x:c>
      <x:c r="H16" t="str">
        <x:v>Finalisasi dengan barang A drop, barang B Hold/Inap. Admin approve. Lanjutkan dari barang hold melalui flow lanjutan admin/mobile sesuai ketersediaan.</x:v>
      </x:c>
      <x:c r="I16" t="str">
        <x:v>Barang drop masuk billable. Barang hold tidak hilang dan bisa dilanjutkan. Tidak ada qty negatif atau double bill di invoice.</x:v>
      </x:c>
      <x:c r="J16" t="str">
        <x:v>Belum Dites</x:v>
      </x:c>
      <x:c r="K16" t="str"/>
      <x:c r="L16" t="str"/>
      <x:c r="M16" t="str"/>
      <x:c r="N16" t="str"/>
    </x:row>
    <x:row r="17" ht="15" hidden="0" customHeight="1">
      <x:c r="A17" t="str">
        <x:v>MOBADM-016</x:v>
      </x:c>
      <x:c r="B17" t="str">
        <x:v>Approval Admin</x:v>
      </x:c>
      <x:c r="C17" t="str">
        <x:v>Driver ajukan selesai membuat pending approval</x:v>
      </x:c>
      <x:c r="D17" t="str">
        <x:v>P0</x:v>
      </x:c>
      <x:c r="E17" t="str">
        <x:v>Mobile Driver + Web Admin OPERASIONAL</x:v>
      </x:c>
      <x:c r="F17" t="str">
        <x:v>Mobile -&gt; Ajukan Selesai, Admin -&gt; /delivery-orders/{id}</x:v>
      </x:c>
      <x:c r="G17" t="str">
        <x:v>Trip siap finalisasi.</x:v>
      </x:c>
      <x:c r="H17" t="str">
        <x:v>Driver ajukan selesai. Sebelum approve, refresh mobile dan admin.</x:v>
      </x:c>
      <x:c r="I17" t="str">
        <x:v>Admin melihat status pending driver approval. Mobile menampilkan menunggu approval admin dan mengunci update final yang tidak boleh diedit. DO belum Delivered sebelum admin approve.</x:v>
      </x:c>
      <x:c r="J17" t="str">
        <x:v>Belum Dites</x:v>
      </x:c>
      <x:c r="K17" t="str"/>
      <x:c r="L17" t="str"/>
      <x:c r="M17" t="str"/>
      <x:c r="N17" t="str"/>
    </x:row>
    <x:row r="18" ht="15" hidden="0" customHeight="1">
      <x:c r="A18" t="str">
        <x:v>MOBADM-017</x:v>
      </x:c>
      <x:c r="B18" t="str">
        <x:v>Approval Admin</x:v>
      </x:c>
      <x:c r="C18" t="str">
        <x:v>Admin reject, driver koreksi dan ajukan lagi</x:v>
      </x:c>
      <x:c r="D18" t="str">
        <x:v>P0</x:v>
      </x:c>
      <x:c r="E18" t="str">
        <x:v>Mobile Driver + Web Admin OPERASIONAL</x:v>
      </x:c>
      <x:c r="F18" t="str">
        <x:v>Admin /delivery-orders/{id} -&gt; Tolak/Kembalikan, Mobile -&gt; Ajukan Selesai</x:v>
      </x:c>
      <x:c r="G18" t="str">
        <x:v>Ada request finalisasi driver pending.</x:v>
      </x:c>
      <x:c r="H18" t="str">
        <x:v>Admin tolak dengan catatan. Driver buka mobile, baca catatan, edit aktual/drop, ajukan ulang. Admin approve.</x:v>
      </x:c>
      <x:c r="I18" t="str">
        <x:v>Catatan reject tampil di mobile. Setelah koreksi, request lama tidak menggantung. Approval baru menghasilkan data final yang benar.</x:v>
      </x:c>
      <x:c r="J18" t="str">
        <x:v>Belum Dites</x:v>
      </x:c>
      <x:c r="K18" t="str"/>
      <x:c r="L18" t="str"/>
      <x:c r="M18" t="str"/>
      <x:c r="N18" t="str"/>
    </x:row>
    <x:row r="19" ht="15" hidden="0" customHeight="1">
      <x:c r="A19" t="str">
        <x:v>MOBADM-018</x:v>
      </x:c>
      <x:c r="B19" t="str">
        <x:v>Odometer</x:v>
      </x:c>
      <x:c r="C19" t="str">
        <x:v>Input odometer tutup trip valid</x:v>
      </x:c>
      <x:c r="D19" t="str">
        <x:v>P0</x:v>
      </x:c>
      <x:c r="E19" t="str">
        <x:v>Mobile Driver + Web Admin OPERASIONAL/ARMADA</x:v>
      </x:c>
      <x:c r="F19" t="str">
        <x:v>Mobile -&gt; Trip delivered -&gt; Tutup Trip, Admin -&gt; kendaraan/trip detail</x:v>
      </x:c>
      <x:c r="G19" t="str">
        <x:v>Trip delivered dengan kendaraan punya odometer terakhir.</x:v>
      </x:c>
      <x:c r="H19" t="str">
        <x:v>Tekan Tutup Trip. Isi odometer akhir lebih besar dari odometer kendaraan terakhir. Submit dan cek admin.</x:v>
      </x:c>
      <x:c r="I19" t="str">
        <x:v>Trip closure request tercatat. Setelah admin approve/close, odometer kendaraan ikut nilai akhir. Format angka sesuai admin dan tidak menerima nilai kosong.</x:v>
      </x:c>
      <x:c r="J19" t="str">
        <x:v>Belum Dites</x:v>
      </x:c>
      <x:c r="K19" t="str"/>
      <x:c r="L19" t="str"/>
      <x:c r="M19" t="str"/>
      <x:c r="N19" t="str"/>
    </x:row>
    <x:row r="20" ht="15" hidden="0" customHeight="1">
      <x:c r="A20" t="str">
        <x:v>MOBADM-019</x:v>
      </x:c>
      <x:c r="B20" t="str">
        <x:v>Odometer</x:v>
      </x:c>
      <x:c r="C20" t="str">
        <x:v>Odometer lebih kecil ditolak</x:v>
      </x:c>
      <x:c r="D20" t="str">
        <x:v>P0</x:v>
      </x:c>
      <x:c r="E20" t="str">
        <x:v>Mobile Driver</x:v>
      </x:c>
      <x:c r="F20" t="str">
        <x:v>Mobile -&gt; Tutup Trip atau Lapor Insiden -&gt; field odometer</x:v>
      </x:c>
      <x:c r="G20" t="str">
        <x:v>Trip dengan vehicleLastOdometer terisi.</x:v>
      </x:c>
      <x:c r="H20" t="str">
        <x:v>Isi odometer lebih kecil dari odometer kendaraan terakhir, lalu submit.</x:v>
      </x:c>
      <x:c r="I20" t="str">
        <x:v>Mobile menolak sebelum kirim atau backend menolak dengan pesan jelas. Tidak ada trip closure/incident resolution tersimpan dengan odometer mundur.</x:v>
      </x:c>
      <x:c r="J20" t="str">
        <x:v>Belum Dites</x:v>
      </x:c>
      <x:c r="K20" t="str"/>
      <x:c r="L20" t="str"/>
      <x:c r="M20" t="str"/>
      <x:c r="N20" t="str"/>
    </x:row>
    <x:row r="21" ht="15" hidden="0" customHeight="1">
      <x:c r="A21" t="str">
        <x:v>MOBADM-020</x:v>
      </x:c>
      <x:c r="B21" t="str">
        <x:v>Insiden Mobile</x:v>
      </x:c>
      <x:c r="C21" t="str">
        <x:v>Lapor insiden pertama dari driver</x:v>
      </x:c>
      <x:c r="D21" t="str">
        <x:v>P0</x:v>
      </x:c>
      <x:c r="E21" t="str">
        <x:v>Mobile Driver + Web Admin ARMADA</x:v>
      </x:c>
      <x:c r="F21" t="str">
        <x:v>Mobile -&gt; Trip -&gt; Lapor Insiden, Admin -&gt; Armada -&gt; Insiden (/fleet/incidents)</x:v>
      </x:c>
      <x:c r="G21" t="str">
        <x:v>Trip aktif dengan driver login.</x:v>
      </x:c>
      <x:c r="H21" t="str">
        <x:v>Driver buka Lapor Insiden, pilih tipe/severity, isi lokasi/odometer/catatan, kirim. Admin buka daftar insiden.</x:v>
      </x:c>
      <x:c r="I21" t="str">
        <x:v>Insiden muncul di admin dengan nomor INC, trip/driver/kendaraan tertaut, status awal Dalam Proses/Ditangani sesuai workflow, dan lokasi masuk.</x:v>
      </x:c>
      <x:c r="J21" t="str">
        <x:v>Belum Dites</x:v>
      </x:c>
      <x:c r="K21" t="str"/>
      <x:c r="L21" t="str"/>
      <x:c r="M21" t="str"/>
      <x:c r="N21" t="str"/>
    </x:row>
    <x:row r="22" ht="15" hidden="0" customHeight="1">
      <x:c r="A22" t="str">
        <x:v>MOBADM-021</x:v>
      </x:c>
      <x:c r="B22" t="str">
        <x:v>Insiden Mobile</x:v>
      </x:c>
      <x:c r="C22" t="str">
        <x:v>Saat ada insiden aktif, Lapor Insiden disembunyikan</x:v>
      </x:c>
      <x:c r="D22" t="str">
        <x:v>P0</x:v>
      </x:c>
      <x:c r="E22" t="str">
        <x:v>Mobile Driver</x:v>
      </x:c>
      <x:c r="F22" t="str">
        <x:v>Mobile -&gt; Trip yang punya active incident</x:v>
      </x:c>
      <x:c r="G22" t="str">
        <x:v>Trip punya 1 insiden belum CLOSED.</x:v>
      </x:c>
      <x:c r="H22" t="str">
        <x:v>Refresh mobile setelah insiden dibuat. Lihat area insiden.</x:v>
      </x:c>
      <x:c r="I22" t="str">
        <x:v>UI tidak menampilkan tombol Lapor Insiden lagi. Yang tampil hanya aksi relevan seperti Ajukan Selesai Insiden atau status menunggu admin. Tidak ada duplikasi laporan aktif.</x:v>
      </x:c>
      <x:c r="J22" t="str">
        <x:v>Belum Dites</x:v>
      </x:c>
      <x:c r="K22" t="str"/>
      <x:c r="L22" t="str"/>
      <x:c r="M22" t="str"/>
      <x:c r="N22" t="str"/>
    </x:row>
    <x:row r="23" ht="15" hidden="0" customHeight="1">
      <x:c r="A23" t="str">
        <x:v>MOBADM-022</x:v>
      </x:c>
      <x:c r="B23" t="str">
        <x:v>Insiden Mobile</x:v>
      </x:c>
      <x:c r="C23" t="str">
        <x:v>Driver ajukan selesai insiden dengan biaya</x:v>
      </x:c>
      <x:c r="D23" t="str">
        <x:v>P0</x:v>
      </x:c>
      <x:c r="E23" t="str">
        <x:v>Mobile Driver + Web Admin ARMADA</x:v>
      </x:c>
      <x:c r="F23" t="str">
        <x:v>Mobile -&gt; Ajukan Selesai Insiden, Admin -&gt; /fleet/incidents/{id}</x:v>
      </x:c>
      <x:c r="G23" t="str">
        <x:v>Insiden aktif yang belum selesai.</x:v>
      </x:c>
      <x:c r="H23" t="str">
        <x:v>Driver isi catatan penyelesaian, odometer akhir, dan 1 detail biaya. Submit. Buka admin detail insiden.</x:v>
      </x:c>
      <x:c r="I23" t="str">
        <x:v>Admin melihat status/pending review dari pengajuan driver. Detail biaya berstatus draft/driver submitted sesuai workflow dan tertaut ke insiden, bukan langsung hilang.</x:v>
      </x:c>
      <x:c r="J23" t="str">
        <x:v>Belum Dites</x:v>
      </x:c>
      <x:c r="K23" t="str"/>
      <x:c r="L23" t="str"/>
      <x:c r="M23" t="str"/>
      <x:c r="N23" t="str"/>
    </x:row>
    <x:row r="24" ht="15" hidden="0" customHeight="1">
      <x:c r="A24" t="str">
        <x:v>MOBADM-023</x:v>
      </x:c>
      <x:c r="B24" t="str">
        <x:v>Insiden Admin</x:v>
      </x:c>
      <x:c r="C24" t="str">
        <x:v>Approve pengajuan insiden mengubah status mobile</x:v>
      </x:c>
      <x:c r="D24" t="str">
        <x:v>P0</x:v>
      </x:c>
      <x:c r="E24" t="str">
        <x:v>Web Admin ARMADA + Mobile Driver</x:v>
      </x:c>
      <x:c r="F24" t="str">
        <x:v>Admin /fleet/incidents/{id} -&gt; Ubah Status / Review biaya, Mobile -&gt; refresh trip</x:v>
      </x:c>
      <x:c r="G24" t="str">
        <x:v>Insiden dengan pengajuan selesai driver pending.</x:v>
      </x:c>
      <x:c r="H24" t="str">
        <x:v>Admin approve/review pengajuan dan ubah status sesuai workflow sampai resolved/closed bila memang selesai. Refresh mobile.</x:v>
      </x:c>
      <x:c r="I24" t="str">
        <x:v>Mobile tidak lagi menampilkan Menunggu Approval bila admin sudah approve. Status insiden sinkron dengan admin. Jika belum CLOSED, UI hanya menampilkan instruksi tunggu admin, bukan tombol lapor baru.</x:v>
      </x:c>
      <x:c r="J24" t="str">
        <x:v>Belum Dites</x:v>
      </x:c>
      <x:c r="K24" t="str"/>
      <x:c r="L24" t="str"/>
      <x:c r="M24" t="str"/>
      <x:c r="N24" t="str"/>
    </x:row>
    <x:row r="25" ht="15" hidden="0" customHeight="1">
      <x:c r="A25" t="str">
        <x:v>MOBADM-024</x:v>
      </x:c>
      <x:c r="B25" t="str">
        <x:v>Insiden Biaya</x:v>
      </x:c>
      <x:c r="C25" t="str">
        <x:v>Biaya insiden masuk biaya lain-lain uang jalan</x:v>
      </x:c>
      <x:c r="D25" t="str">
        <x:v>P0</x:v>
      </x:c>
      <x:c r="E25" t="str">
        <x:v>Web Admin ARMADA + FINANCE/OPERASIONAL</x:v>
      </x:c>
      <x:c r="F25" t="str">
        <x:v>Admin /fleet/incidents/{id}, lalu /driver-vouchers/{id}</x:v>
      </x:c>
      <x:c r="G25" t="str">
        <x:v>Trip sudah punya uang jalan trip terbit.</x:v>
      </x:c>
      <x:c r="H25" t="str">
        <x:v>Approve detail biaya insiden. Buka Uang Jalan Trip terkait dan cek bagian biaya lain-lain/biaya trip.</x:v>
      </x:c>
      <x:c r="I25" t="str">
        <x:v>Biaya insiden otomatis tertaut ke uang jalan trip sebagai biaya lain-lain atau biaya insiden sesuai akun. Tidak dobel saat refresh atau approve ulang.</x:v>
      </x:c>
      <x:c r="J25" t="str">
        <x:v>Belum Dites</x:v>
      </x:c>
      <x:c r="K25" t="str"/>
      <x:c r="L25" t="str"/>
      <x:c r="M25" t="str"/>
      <x:c r="N25" t="str"/>
    </x:row>
    <x:row r="26" ht="15" hidden="0" customHeight="1">
      <x:c r="A26" t="str">
        <x:v>MOBADM-025</x:v>
      </x:c>
      <x:c r="B26" t="str">
        <x:v>Insiden Biaya</x:v>
      </x:c>
      <x:c r="C26" t="str">
        <x:v>Approve insiden sebelum bon uang jalan terbit</x:v>
      </x:c>
      <x:c r="D26" t="str">
        <x:v>P0</x:v>
      </x:c>
      <x:c r="E26" t="str">
        <x:v>Web Admin ARMADA + OPERASIONAL/FINANCE</x:v>
      </x:c>
      <x:c r="F26" t="str">
        <x:v>Admin /fleet/incidents/{id}, lalu buat/terbitkan /driver-vouchers/new</x:v>
      </x:c>
      <x:c r="G26" t="str">
        <x:v>Trip punya insiden approved, tetapi uang jalan belum terbit.</x:v>
      </x:c>
      <x:c r="H26" t="str">
        <x:v>Approve biaya insiden dulu. Setelah itu terbitkan uang jalan trip. Cek detail voucher.</x:v>
      </x:c>
      <x:c r="I26" t="str">
        <x:v>Biaya insiden tidak hilang. Saat voucher terbit, biaya approved masuk ke biaya lain-lain terkait trip tanpa duplikasi.</x:v>
      </x:c>
      <x:c r="J26" t="str">
        <x:v>Belum Dites</x:v>
      </x:c>
      <x:c r="K26" t="str"/>
      <x:c r="L26" t="str"/>
      <x:c r="M26" t="str"/>
      <x:c r="N26" t="str"/>
    </x:row>
    <x:row r="27" ht="15" hidden="0" customHeight="1">
      <x:c r="A27" t="str">
        <x:v>MOBADM-026</x:v>
      </x:c>
      <x:c r="B27" t="str">
        <x:v>Insiden Berulang</x:v>
      </x:c>
      <x:c r="C27" t="str">
        <x:v>Insiden kedua baru boleh setelah insiden pertama selesai</x:v>
      </x:c>
      <x:c r="D27" t="str">
        <x:v>P0</x:v>
      </x:c>
      <x:c r="E27" t="str">
        <x:v>Mobile Driver + Web Admin ARMADA</x:v>
      </x:c>
      <x:c r="F27" t="str">
        <x:v>Mobile -&gt; Trip -&gt; Lapor Insiden, Admin -&gt; /fleet/incidents/{id}</x:v>
      </x:c>
      <x:c r="G27" t="str">
        <x:v>Trip dengan insiden pertama sudah CLOSED.</x:v>
      </x:c>
      <x:c r="H27" t="str">
        <x:v>Setelah admin close insiden pertama, refresh mobile. Buat insiden kedua. Selesaikan/approve. Ulangi sekali lagi bila perlu.</x:v>
      </x:c>
      <x:c r="I27" t="str">
        <x:v>Tombol Lapor Insiden muncul lagi hanya setelah insiden sebelumnya selesai/CLOSED. Setiap insiden punya nomor dan biaya sendiri, semua tertaut ke trip yang sama tanpa saling overwrite.</x:v>
      </x:c>
      <x:c r="J27" t="str">
        <x:v>Belum Dites</x:v>
      </x:c>
      <x:c r="K27" t="str"/>
      <x:c r="L27" t="str"/>
      <x:c r="M27" t="str"/>
      <x:c r="N27" t="str"/>
    </x:row>
    <x:row r="28" ht="15" hidden="0" customHeight="1">
      <x:c r="A28" t="str">
        <x:v>MOBADM-027</x:v>
      </x:c>
      <x:c r="B28" t="str">
        <x:v>Tracking GPS</x:v>
      </x:c>
      <x:c r="C28" t="str">
        <x:v>Tracking aktif hanya satu trip per driver</x:v>
      </x:c>
      <x:c r="D28" t="str">
        <x:v>P0</x:v>
      </x:c>
      <x:c r="E28" t="str">
        <x:v>Mobile Driver + Web Admin OPERASIONAL</x:v>
      </x:c>
      <x:c r="F28" t="str">
        <x:v>Mobile -&gt; Trip -&gt; Tracking aktif, Admin -&gt; /delivery-orders/{id}</x:v>
      </x:c>
      <x:c r="G28" t="str">
        <x:v>Driver punya 2 trip aktif atau riwayat tracking aktif lama.</x:v>
      </x:c>
      <x:c r="H28" t="str">
        <x:v>Mulai tracking Trip A. Coba mulai tracking Trip B tanpa menghentikan Trip A. Lalu hentikan Trip A dan mulai Trip B.</x:v>
      </x:c>
      <x:c r="I28" t="str">
        <x:v>Sistem memberi warning tracking aktif pada trip lama. Setelah dihentikan, trip baru bisa tracking. GPS ping masuk ke trip yang benar dan tidak bercampur.</x:v>
      </x:c>
      <x:c r="J28" t="str">
        <x:v>Belum Dites</x:v>
      </x:c>
      <x:c r="K28" t="str"/>
      <x:c r="L28" t="str"/>
      <x:c r="M28" t="str"/>
      <x:c r="N28" t="str"/>
    </x:row>
    <x:row r="29" ht="15" hidden="0" customHeight="1">
      <x:c r="A29" t="str">
        <x:v>MOBADM-028</x:v>
      </x:c>
      <x:c r="B29" t="str">
        <x:v>Keyboard &amp; Dropdown</x:v>
      </x:c>
      <x:c r="C29" t="str">
        <x:v>Input tidak hilang saat keyboard muncul</x:v>
      </x:c>
      <x:c r="D29" t="str">
        <x:v>P0</x:v>
      </x:c>
      <x:c r="E29" t="str">
        <x:v>Mobile Driver</x:v>
      </x:c>
      <x:c r="F29" t="str">
        <x:v>Mobile -&gt; Kelola SJ &amp; Barang dan Ajukan Selesai</x:v>
      </x:c>
      <x:c r="G29" t="str">
        <x:v>Perangkat/emulator Android ukuran kecil.</x:v>
      </x:c>
      <x:c r="H29" t="str">
        <x:v>Buka dropdown master barang, cari barang, isi nomor SJ, isi berat/koli/volume, tambah titik drop, lalu scroll bolak-balik.</x:v>
      </x:c>
      <x:c r="I29" t="str">
        <x:v>Halaman tidak pop/close sendiri. Bottom sheet tetap stabil. Field yang baru diisi tetap tersimpan di draft sampai Simpan/Ajukan.</x:v>
      </x:c>
      <x:c r="J29" t="str">
        <x:v>Belum Dites</x:v>
      </x:c>
      <x:c r="K29" t="str"/>
      <x:c r="L29" t="str"/>
      <x:c r="M29" t="str"/>
      <x:c r="N29" t="str"/>
    </x:row>
    <x:row r="30" ht="15" hidden="0" customHeight="1">
      <x:c r="A30" t="str">
        <x:v>MOBADM-029</x:v>
      </x:c>
      <x:c r="B30" t="str">
        <x:v>Keyboard &amp; Dropdown</x:v>
      </x:c>
      <x:c r="C30" t="str">
        <x:v>Input koma/titik dan digit bilangan sama seperti admin</x:v>
      </x:c>
      <x:c r="D30" t="str">
        <x:v>P0</x:v>
      </x:c>
      <x:c r="E30" t="str">
        <x:v>Mobile Driver + Web Admin OPERASIONAL</x:v>
      </x:c>
      <x:c r="F30" t="str">
        <x:v>Mobile Kelola SJ &amp; Barang/Ajukan Selesai, Admin /delivery-orders/{id}</x:v>
      </x:c>
      <x:c r="G30" t="str">
        <x:v>Barang dengan berat desimal dan volume desimal.</x:v>
      </x:c>
      <x:c r="H30" t="str">
        <x:v>Isi berat dengan koma, titik, dan ribuan bila format admin mendukung. Ubah satuan kg/ton dan m3 bila ada. Simpan dan cek angka admin.</x:v>
      </x:c>
      <x:c r="I30" t="str">
        <x:v>Nilai tersimpan dalam angka benar, tidak bergeser 10x/1000x. Jumlah digit dan pembulatan mengikuti aturan admin operasional.</x:v>
      </x:c>
      <x:c r="J30" t="str">
        <x:v>Belum Dites</x:v>
      </x:c>
      <x:c r="K30" t="str"/>
      <x:c r="L30" t="str"/>
      <x:c r="M30" t="str"/>
      <x:c r="N30" t="str"/>
    </x:row>
    <x:row r="31" ht="15" hidden="0" customHeight="1">
      <x:c r="A31" t="str">
        <x:v>MOBADM-030</x:v>
      </x:c>
      <x:c r="B31" t="str">
        <x:v>Loading &amp; Double Submit</x:v>
      </x:c>
      <x:c r="C31" t="str">
        <x:v>Action berat menampilkan loading dan mencegah klik ganda</x:v>
      </x:c>
      <x:c r="D31" t="str">
        <x:v>P0</x:v>
      </x:c>
      <x:c r="E31" t="str">
        <x:v>Mobile Driver</x:v>
      </x:c>
      <x:c r="F31" t="str">
        <x:v>Mobile semua action utama: Simpan SJ, Update Status SJ, Ajukan Selesai, Lapor Insiden, Ajukan Selesai Insiden, Tutup Trip</x:v>
      </x:c>
      <x:c r="G31" t="str">
        <x:v>Koneksi normal dan koneksi diperlambat bila bisa.</x:v>
      </x:c>
      <x:c r="H31" t="str">
        <x:v>Tekan action utama cepat beberapa kali. Perhatikan tombol dan overlay/loading.</x:v>
      </x:c>
      <x:c r="I31" t="str">
        <x:v>Tombol menampilkan loading/disabled selama request. Backend tidak menerima data dobel. Setelah selesai, UI refresh ke state terbaru.</x:v>
      </x:c>
      <x:c r="J31" t="str">
        <x:v>Belum Dites</x:v>
      </x:c>
      <x:c r="K31" t="str"/>
      <x:c r="L31" t="str"/>
      <x:c r="M31" t="str"/>
      <x:c r="N31" t="str"/>
    </x:row>
    <x:row r="32" ht="15" hidden="0" customHeight="1">
      <x:c r="A32" t="str">
        <x:v>MOBADM-031</x:v>
      </x:c>
      <x:c r="B32" t="str">
        <x:v>Unsaved Changes</x:v>
      </x:c>
      <x:c r="C32" t="str">
        <x:v>Keluar dari form edit memberi warning</x:v>
      </x:c>
      <x:c r="D32" t="str">
        <x:v>P1</x:v>
      </x:c>
      <x:c r="E32" t="str">
        <x:v>Mobile Driver</x:v>
      </x:c>
      <x:c r="F32" t="str">
        <x:v>Mobile -&gt; Kelola SJ &amp; Barang atau Ajukan Selesai</x:v>
      </x:c>
      <x:c r="G32" t="str">
        <x:v>Ada draft perubahan belum disimpan.</x:v>
      </x:c>
      <x:c r="H32" t="str">
        <x:v>Edit field apa pun, tekan back/navigasi keluar. Pilih Tetap Edit lalu ulangi dan pilih Keluar/Buang.</x:v>
      </x:c>
      <x:c r="I32" t="str">
        <x:v>Ada dialog perubahan belum disimpan. Tetap Edit mempertahankan draft. Keluar/Buang tidak mengirim data ke backend.</x:v>
      </x:c>
      <x:c r="J32" t="str">
        <x:v>Belum Dites</x:v>
      </x:c>
      <x:c r="K32" t="str"/>
      <x:c r="L32" t="str"/>
      <x:c r="M32" t="str"/>
      <x:c r="N32" t="str"/>
    </x:row>
    <x:row r="33" ht="15" hidden="0" customHeight="1">
      <x:c r="A33" t="str">
        <x:v>MOBADM-032</x:v>
      </x:c>
      <x:c r="B33" t="str">
        <x:v>Invoice/Nota</x:v>
      </x:c>
      <x:c r="C33" t="str">
        <x:v>Invoice mengambil aktual final yang disetujui admin</x:v>
      </x:c>
      <x:c r="D33" t="str">
        <x:v>P0</x:v>
      </x:c>
      <x:c r="E33" t="str">
        <x:v>Web Admin FINANCE + OPERASIONAL</x:v>
      </x:c>
      <x:c r="F33" t="str">
        <x:v>Admin /invoices/new atau /invoices, cek sumber dari /surat-jalan dan /delivery-orders</x:v>
      </x:c>
      <x:c r="G33" t="str">
        <x:v>Trip delivered/final dengan 2 SJ, ada drop dan hold bila perlu.</x:v>
      </x:c>
      <x:c r="H33" t="str">
        <x:v>Setelah admin approve finalisasi, buat invoice/nota ongkos. Cek item, berat, koli, drop, nomor SJ, dan nominal.</x:v>
      </x:c>
      <x:c r="I33" t="str">
        <x:v>Invoice hanya mengambil barang billable/drop yang final approved. Barang hold tidak tertagih dobel. Nomor SJ dan berat/koli sesuai admin dan mobile.</x:v>
      </x:c>
      <x:c r="J33" t="str">
        <x:v>Belum Dites</x:v>
      </x:c>
      <x:c r="K33" t="str"/>
      <x:c r="L33" t="str"/>
      <x:c r="M33" t="str"/>
      <x:c r="N33" t="str"/>
    </x:row>
    <x:row r="34" ht="15" hidden="0" customHeight="1">
      <x:c r="A34" t="str">
        <x:v>MOBADM-033</x:v>
      </x:c>
      <x:c r="B34" t="str">
        <x:v>Invoice/Nota</x:v>
      </x:c>
      <x:c r="C34" t="str">
        <x:v>Edit final tidak membuat mismatch invoice</x:v>
      </x:c>
      <x:c r="D34" t="str">
        <x:v>P0</x:v>
      </x:c>
      <x:c r="E34" t="str">
        <x:v>Web Admin OPERASIONAL + FINANCE</x:v>
      </x:c>
      <x:c r="F34" t="str">
        <x:v>Admin /surat-jalan/{id}, /delivery-orders/{id}, /invoices/{id}</x:v>
      </x:c>
      <x:c r="G34" t="str">
        <x:v>Trip sudah dibuat invoice atau siap invoice.</x:v>
      </x:c>
      <x:c r="H34" t="str">
        <x:v>Coba edit final yang masih diizinkan workflow admin. Jika invoice sudah terbit, cek apakah sistem mengunci atau meminta penyesuaian sesuai aturan.</x:v>
      </x:c>
      <x:c r="I34" t="str">
        <x:v>Tidak ada invoice diam-diam memakai data lama yang salah. Jika data sudah terkunci oleh invoice, UI menjelaskan bahwa perubahan harus lewat workflow yang benar.</x:v>
      </x:c>
      <x:c r="J34" t="str">
        <x:v>Belum Dites</x:v>
      </x:c>
      <x:c r="K34" t="str"/>
      <x:c r="L34" t="str"/>
      <x:c r="M34" t="str"/>
      <x:c r="N34" t="str"/>
    </x:row>
    <x:row r="35" ht="15" hidden="0" customHeight="1">
      <x:c r="A35" t="str">
        <x:v>MOBADM-034</x:v>
      </x:c>
      <x:c r="B35" t="str">
        <x:v>Dua Trip Paralel</x:v>
      </x:c>
      <x:c r="C35" t="str">
        <x:v>Update trip A tidak mengubah trip B</x:v>
      </x:c>
      <x:c r="D35" t="str">
        <x:v>P0</x:v>
      </x:c>
      <x:c r="E35" t="str">
        <x:v>Mobile Driver + Web Admin OPERASIONAL</x:v>
      </x:c>
      <x:c r="F35" t="str">
        <x:v>Mobile Driver -&gt; dua trip, Admin /delivery-orders</x:v>
      </x:c>
      <x:c r="G35" t="str">
        <x:v>Driver yang sama atau driver berbeda punya 2 trip aktif.</x:v>
      </x:c>
      <x:c r="H35" t="str">
        <x:v>Pada Trip A tambah SJ, update status, dan buat insiden. Pada Trip B lakukan update status berbeda. Refresh admin dan mobile.</x:v>
      </x:c>
      <x:c r="I35" t="str">
        <x:v>Data setiap trip tetap terpisah. Status SJ, incident, tracking, uang jalan, dan invoice tidak saling overwrite.</x:v>
      </x:c>
      <x:c r="J35" t="str">
        <x:v>Belum Dites</x:v>
      </x:c>
      <x:c r="K35" t="str"/>
      <x:c r="L35" t="str"/>
      <x:c r="M35" t="str"/>
      <x:c r="N35" t="str"/>
    </x:row>
    <x:row r="36" ht="15" hidden="0" customHeight="1">
      <x:c r="A36" t="str">
        <x:v>MOBADM-035</x:v>
      </x:c>
      <x:c r="B36" t="str">
        <x:v>Sinkronisasi Readback</x:v>
      </x:c>
      <x:c r="C36" t="str">
        <x:v>Mobile refresh selalu membaca state terbaru admin</x:v>
      </x:c>
      <x:c r="D36" t="str">
        <x:v>P0</x:v>
      </x:c>
      <x:c r="E36" t="str">
        <x:v>Mobile Driver + semua role admin terkait</x:v>
      </x:c>
      <x:c r="F36" t="str">
        <x:v>Mobile -&gt; Refresh, Admin -&gt; halaman detail sesuai modul</x:v>
      </x:c>
      <x:c r="G36" t="str">
        <x:v>Gunakan data dari seluruh skenario P0.</x:v>
      </x:c>
      <x:c r="H36" t="str">
        <x:v>Setelah setiap perubahan admin, refresh mobile. Setelah setiap perubahan mobile, refresh admin.</x:v>
      </x:c>
      <x:c r="I36" t="str">
        <x:v>State di kedua sisi sama: status, nomor SJ, barang, aktual, hold, insiden, biaya, tracking, odometer, dan invoice. Tidak ada cache lama yang membuat UI menampilkan status sudah tidak berlaku.</x:v>
      </x:c>
      <x:c r="J36" t="str">
        <x:v>Belum Dites</x:v>
      </x:c>
      <x:c r="K36" t="str"/>
      <x:c r="L36" t="str"/>
      <x:c r="M36" t="str"/>
      <x:c r="N36" t="str"/>
    </x:row>
    <x:row r="37" ht="15" hidden="0" customHeight="1">
      <x:c r="A37" t="str">
        <x:v>ADM-001</x:v>
      </x:c>
      <x:c r="B37" t="str">
        <x:v>Admin Operational Parity</x:v>
      </x:c>
      <x:c r="C37" t="str">
        <x:v>Tab aktual barang menjadi sumber aturan mobile</x:v>
      </x:c>
      <x:c r="D37" t="str">
        <x:v>P0</x:v>
      </x:c>
      <x:c r="E37" t="str">
        <x:v>Web Admin OPERASIONAL</x:v>
      </x:c>
      <x:c r="F37" t="str">
        <x:v>Admin /delivery-orders/{id} dan /surat-jalan/{id}</x:v>
      </x:c>
      <x:c r="G37" t="str">
        <x:v>Ambil satu trip yang juga dites di mobile.</x:v>
      </x:c>
      <x:c r="H37" t="str">
        <x:v>Buka flow finalisasi di admin. Catat field yang auto, field lock, field editable, opsi drop/hold, dan pembulatan angka.</x:v>
      </x:c>
      <x:c r="I37" t="str">
        <x:v>Hasil observasi admin sama dengan mobile. Jika admin mengunci field tertentu, mobile juga mengunci. Jika admin auto isi drop, mobile juga auto isi dengan konsep yang sama.</x:v>
      </x:c>
      <x:c r="J37" t="str">
        <x:v>Belum Dites</x:v>
      </x:c>
      <x:c r="K37" t="str"/>
      <x:c r="L37" t="str"/>
      <x:c r="M37" t="str"/>
      <x:c r="N37" t="str"/>
    </x:row>
    <x:row r="38" ht="15" hidden="0" customHeight="1">
      <x:c r="A38" t="str">
        <x:v>ADM-002</x:v>
      </x:c>
      <x:c r="B38" t="str">
        <x:v>Admin Approval</x:v>
      </x:c>
      <x:c r="C38" t="str">
        <x:v>Final approval menutup workflow dengan benar</x:v>
      </x:c>
      <x:c r="D38" t="str">
        <x:v>P0</x:v>
      </x:c>
      <x:c r="E38" t="str">
        <x:v>Web Admin OPERASIONAL/OWNER</x:v>
      </x:c>
      <x:c r="F38" t="str">
        <x:v>Admin /delivery-orders/{id} -&gt; approval/final</x:v>
      </x:c>
      <x:c r="G38" t="str">
        <x:v>Trip dari skenario mobile yang sudah diajukan selesai.</x:v>
      </x:c>
      <x:c r="H38" t="str">
        <x:v>Approve finalisasi, cek status DO/SJ/order, cek ketersediaan driver/truk, cek invoice readiness.</x:v>
      </x:c>
      <x:c r="I38" t="str">
        <x:v>Status berubah sesuai workflow, resource dilepas hanya setelah final/close yang benar, dan data final siap invoice tanpa mismatch.</x:v>
      </x:c>
      <x:c r="J38" t="str">
        <x:v>Belum Dites</x:v>
      </x:c>
      <x:c r="K38" t="str"/>
      <x:c r="L38" t="str"/>
      <x:c r="M38" t="str"/>
      <x:c r="N38" t="str"/>
    </x:row>
    <x:row r="39" ht="15" hidden="0" customHeight="1">
      <x:c r="A39" t="str">
        <x:v>ADM-003</x:v>
      </x:c>
      <x:c r="B39" t="str">
        <x:v>Finance</x:v>
      </x:c>
      <x:c r="C39" t="str">
        <x:v>Uang jalan, biaya insiden, dan invoice tersambung</x:v>
      </x:c>
      <x:c r="D39" t="str">
        <x:v>P0</x:v>
      </x:c>
      <x:c r="E39" t="str">
        <x:v>Web Admin FINANCE</x:v>
      </x:c>
      <x:c r="F39" t="str">
        <x:v>Admin /driver-vouchers, /fleet/incidents, /invoices, /reports</x:v>
      </x:c>
      <x:c r="G39" t="str">
        <x:v>Trip dengan uang jalan, 2 insiden, dan invoice.</x:v>
      </x:c>
      <x:c r="H39" t="str">
        <x:v>Cek voucher uang jalan, biaya lain-lain, expense, invoice, payment, dan laporan.</x:v>
      </x:c>
      <x:c r="I39" t="str">
        <x:v>Nominal biaya insiden tidak dobel, masuk akun yang benar, invoice sesuai aktual final, dan laporan kas/piutang konsisten.</x:v>
      </x:c>
      <x:c r="J39" t="str">
        <x:v>Belum Dites</x:v>
      </x:c>
      <x:c r="K39" t="str"/>
      <x:c r="L39" t="str"/>
      <x:c r="M39" t="str"/>
      <x:c r="N39" t="str"/>
    </x:row>
  </x:sheetData>
  <x:pageMargins left="0.7" right="0.7" top="0.75" bottom="0.75" header="0.3" footer="0.3"/>
  <x:tableParts count="1">
    <x:tablePart xmlns:r="http://schemas.openxmlformats.org/officeDocument/2006/relationships" r:id="Re8498d5a46d6460e"/>
  </x:tableParts>
</x:worksheet>
</file>